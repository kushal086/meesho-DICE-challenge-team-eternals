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Prioritisation" sheetId="1" r:id="rId5"/>
    <sheet state="visible" name="RICE Framework Calc" sheetId="2" r:id="rId6"/>
  </sheets>
  <definedNames/>
  <calcPr/>
</workbook>
</file>

<file path=xl/sharedStrings.xml><?xml version="1.0" encoding="utf-8"?>
<sst xmlns="http://schemas.openxmlformats.org/spreadsheetml/2006/main" count="128" uniqueCount="89">
  <si>
    <t>Problem prioritisation</t>
  </si>
  <si>
    <t>RICE scoring</t>
  </si>
  <si>
    <t>Anchors</t>
  </si>
  <si>
    <t>Score</t>
  </si>
  <si>
    <t>Reach — % of total orders</t>
  </si>
  <si>
    <t>#</t>
  </si>
  <si>
    <t>Impact — ₹ per affected order</t>
  </si>
  <si>
    <t>Confidence — evidence behind the line</t>
  </si>
  <si>
    <t>Problem</t>
  </si>
  <si>
    <t>Effort — to build a fix</t>
  </si>
  <si>
    <t>Caused at</t>
  </si>
  <si>
    <t>Detected at</t>
  </si>
  <si>
    <t>% of total orders</t>
  </si>
  <si>
    <t>Orders/day</t>
  </si>
  <si>
    <t>₹ per event</t>
  </si>
  <si>
    <t>₹ Cr/yr</t>
  </si>
  <si>
    <t>Share of pool</t>
  </si>
  <si>
    <t>Up to 1.1%</t>
  </si>
  <si>
    <t>₹10 or less, caught at first mile</t>
  </si>
  <si>
    <t>Single anecdote, one interview</t>
  </si>
  <si>
    <t>Config or mapping change, no build</t>
  </si>
  <si>
    <t>Customer not responding — call unanswered or number unrecognised across all attempts</t>
  </si>
  <si>
    <t>1.1 to 1.8%</t>
  </si>
  <si>
    <t>₹11–30, re-routed not returned</t>
  </si>
  <si>
    <t>Last mile</t>
  </si>
  <si>
    <t>One source, recall only</t>
  </si>
  <si>
    <t>Doorstep</t>
  </si>
  <si>
    <t>Checkout or app change, one team</t>
  </si>
  <si>
    <t>1.8 to 2.6%</t>
  </si>
  <si>
    <t>₹31–80, caught mid-network</t>
  </si>
  <si>
    <t>One source, measured from records</t>
  </si>
  <si>
    <t>Tech build or process change across hubs</t>
  </si>
  <si>
    <t>₹170</t>
  </si>
  <si>
    <t>₹532</t>
  </si>
  <si>
    <t>Fake orders — customer disowns the order at the door</t>
  </si>
  <si>
    <t>Order placement</t>
  </si>
  <si>
    <t>2.6 to 3.4%</t>
  </si>
  <si>
    <t>₹484</t>
  </si>
  <si>
    <t>₹81–169, most of the network traversed</t>
  </si>
  <si>
    <t>Two sources agreeing in direction</t>
  </si>
  <si>
    <t>Tech build plus recurring per-order cost</t>
  </si>
  <si>
    <t>Over 3.4%</t>
  </si>
  <si>
    <t>₹170, full RTO, both legs lost</t>
  </si>
  <si>
    <t>Two independent sources agreeing in magnitude</t>
  </si>
  <si>
    <t>Untimely delivery — arrives early with no cash ready, or late after the need has passed</t>
  </si>
  <si>
    <t>Network redesign or Meesho platform dependency</t>
  </si>
  <si>
    <t>Last mile scheduling</t>
  </si>
  <si>
    <t>₹447</t>
  </si>
  <si>
    <t>Scores</t>
  </si>
  <si>
    <t>Wrong address — address not entered properly at checkout</t>
  </si>
  <si>
    <t>Last Mile DC</t>
  </si>
  <si>
    <t>₹372</t>
  </si>
  <si>
    <t>R</t>
  </si>
  <si>
    <t>I</t>
  </si>
  <si>
    <t>C</t>
  </si>
  <si>
    <t>R×I×C</t>
  </si>
  <si>
    <t>E</t>
  </si>
  <si>
    <t>RICE Score</t>
  </si>
  <si>
    <t>Rank</t>
  </si>
  <si>
    <t>Customer not at home — genuinely absent across all attempts</t>
  </si>
  <si>
    <t>₹287</t>
  </si>
  <si>
    <t>Customer not responding</t>
  </si>
  <si>
    <t>Payment failure — no cash at the door, or UPI does not go through</t>
  </si>
  <si>
    <t>₹261</t>
  </si>
  <si>
    <t>Fake attempts — rider marks RTO without attempting, delivery is far</t>
  </si>
  <si>
    <t>Never detected</t>
  </si>
  <si>
    <t>₹186</t>
  </si>
  <si>
    <t>Outside radius — address falls outside the hub's serviceable area</t>
  </si>
  <si>
    <t>₹164</t>
  </si>
  <si>
    <t>Misrouting — shipment sent to a hub that does not serve the area</t>
  </si>
  <si>
    <t>Destination sort</t>
  </si>
  <si>
    <t>₹26</t>
  </si>
  <si>
    <t>₹40</t>
  </si>
  <si>
    <t>Fraud seller, hub closed, volumetric, fake customer, damage — frequencies not supplied</t>
  </si>
  <si>
    <t>Various</t>
  </si>
  <si>
    <t>DATA NOT AVAILABLE</t>
  </si>
  <si>
    <t>Fake orders</t>
  </si>
  <si>
    <t>Total</t>
  </si>
  <si>
    <t>Untimely delivery</t>
  </si>
  <si>
    <t>4,82,400</t>
  </si>
  <si>
    <t>₹2,773</t>
  </si>
  <si>
    <t>Wrong address</t>
  </si>
  <si>
    <t>Customer not at home</t>
  </si>
  <si>
    <t>Payment failure</t>
  </si>
  <si>
    <t>Fake attempts</t>
  </si>
  <si>
    <t>Outside radius</t>
  </si>
  <si>
    <t>Misrouting</t>
  </si>
  <si>
    <t>Loss</t>
  </si>
  <si>
    <t>Problem Reach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</si>
</sst>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rgb="FFFFFFFF"/>
      <name val="Arial"/>
    </font>
    <font>
      <color rgb="FF0000FF"/>
      <name val="Arial"/>
    </font>
    <font>
      <sz val="11.0"/>
      <color theme="1"/>
      <name val="Calibri"/>
    </font>
    <font>
      <i/>
      <color rgb="FF9A6B10"/>
      <name val="Arial"/>
    </font>
    <font/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1B4965"/>
        <bgColor rgb="FF1B4965"/>
      </patternFill>
    </fill>
    <fill>
      <patternFill patternType="solid">
        <fgColor rgb="FFF8F9FA"/>
        <bgColor rgb="FFF8F9FA"/>
      </patternFill>
    </fill>
    <fill>
      <patternFill patternType="solid">
        <fgColor rgb="FFF1F3F0"/>
        <bgColor rgb="FFF1F3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10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/>
    </xf>
    <xf borderId="1" fillId="3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5" fontId="2" numFmtId="0" xfId="0" applyBorder="1" applyFill="1" applyFont="1"/>
    <xf borderId="1" fillId="5" fontId="8" numFmtId="0" xfId="0" applyAlignment="1" applyBorder="1" applyFill="1" applyFont="1">
      <alignment horizontal="center"/>
    </xf>
    <xf borderId="1" fillId="5" fontId="8" numFmtId="10" xfId="0" applyAlignment="1" applyBorder="1" applyFill="1" applyFont="1" applyNumberFormat="1">
      <alignment horizontal="center"/>
    </xf>
    <xf borderId="1" fillId="5" fontId="8" numFmtId="9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4.13"/>
    <col customWidth="1" min="3" max="3" width="16.13"/>
    <col customWidth="1" min="4" max="4" width="12.38"/>
    <col customWidth="1" min="5" max="5" width="18.5"/>
    <col customWidth="1" min="6" max="6" width="9.88"/>
    <col customWidth="1" min="7" max="7" width="10.25"/>
    <col customWidth="1" min="8" max="8" width="6.63"/>
    <col customWidth="1" min="9" max="9" width="11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 t="s">
        <v>8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1.0</v>
      </c>
      <c r="B4" s="5" t="s">
        <v>21</v>
      </c>
      <c r="C4" s="4" t="s">
        <v>24</v>
      </c>
      <c r="D4" s="4" t="s">
        <v>26</v>
      </c>
      <c r="E4" s="6">
        <v>0.0358</v>
      </c>
      <c r="F4" s="7">
        <v>85800.0</v>
      </c>
      <c r="G4" s="4" t="s">
        <v>32</v>
      </c>
      <c r="H4" s="4" t="s">
        <v>33</v>
      </c>
      <c r="I4" s="8">
        <v>0.18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2.0</v>
      </c>
      <c r="B5" s="5" t="s">
        <v>34</v>
      </c>
      <c r="C5" s="4" t="s">
        <v>35</v>
      </c>
      <c r="D5" s="4" t="s">
        <v>26</v>
      </c>
      <c r="E5" s="6">
        <v>0.0325</v>
      </c>
      <c r="F5" s="7">
        <v>78000.0</v>
      </c>
      <c r="G5" s="4" t="s">
        <v>32</v>
      </c>
      <c r="H5" s="4" t="s">
        <v>37</v>
      </c>
      <c r="I5" s="8">
        <v>0.16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3.0</v>
      </c>
      <c r="B6" s="5" t="s">
        <v>44</v>
      </c>
      <c r="C6" s="4" t="s">
        <v>46</v>
      </c>
      <c r="D6" s="4" t="s">
        <v>26</v>
      </c>
      <c r="E6" s="6">
        <v>0.03</v>
      </c>
      <c r="F6" s="7">
        <v>72000.0</v>
      </c>
      <c r="G6" s="4" t="s">
        <v>32</v>
      </c>
      <c r="H6" s="4" t="s">
        <v>47</v>
      </c>
      <c r="I6" s="8">
        <v>0.15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4.0</v>
      </c>
      <c r="B7" s="5" t="s">
        <v>49</v>
      </c>
      <c r="C7" s="4" t="s">
        <v>35</v>
      </c>
      <c r="D7" s="4" t="s">
        <v>50</v>
      </c>
      <c r="E7" s="6">
        <v>0.025</v>
      </c>
      <c r="F7" s="7">
        <v>60000.0</v>
      </c>
      <c r="G7" s="4" t="s">
        <v>32</v>
      </c>
      <c r="H7" s="4" t="s">
        <v>51</v>
      </c>
      <c r="I7" s="8">
        <v>0.13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5.0</v>
      </c>
      <c r="B8" s="5" t="s">
        <v>59</v>
      </c>
      <c r="C8" s="4" t="s">
        <v>46</v>
      </c>
      <c r="D8" s="4" t="s">
        <v>26</v>
      </c>
      <c r="E8" s="6">
        <v>0.0193</v>
      </c>
      <c r="F8" s="7">
        <v>46200.0</v>
      </c>
      <c r="G8" s="4" t="s">
        <v>32</v>
      </c>
      <c r="H8" s="4" t="s">
        <v>60</v>
      </c>
      <c r="I8" s="8">
        <v>0.1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6.0</v>
      </c>
      <c r="B9" s="5" t="s">
        <v>62</v>
      </c>
      <c r="C9" s="4" t="s">
        <v>26</v>
      </c>
      <c r="D9" s="4" t="s">
        <v>26</v>
      </c>
      <c r="E9" s="6">
        <v>0.0175</v>
      </c>
      <c r="F9" s="7">
        <v>42000.0</v>
      </c>
      <c r="G9" s="4" t="s">
        <v>32</v>
      </c>
      <c r="H9" s="4" t="s">
        <v>63</v>
      </c>
      <c r="I9" s="8">
        <v>0.09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7.0</v>
      </c>
      <c r="B10" s="5" t="s">
        <v>64</v>
      </c>
      <c r="C10" s="4" t="s">
        <v>24</v>
      </c>
      <c r="D10" s="4" t="s">
        <v>65</v>
      </c>
      <c r="E10" s="6">
        <v>0.0125</v>
      </c>
      <c r="F10" s="7">
        <v>30000.0</v>
      </c>
      <c r="G10" s="4" t="s">
        <v>32</v>
      </c>
      <c r="H10" s="4" t="s">
        <v>66</v>
      </c>
      <c r="I10" s="8">
        <v>0.06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8.0</v>
      </c>
      <c r="B11" s="5" t="s">
        <v>67</v>
      </c>
      <c r="C11" s="4" t="s">
        <v>35</v>
      </c>
      <c r="D11" s="4" t="s">
        <v>50</v>
      </c>
      <c r="E11" s="6">
        <v>0.011</v>
      </c>
      <c r="F11" s="7">
        <v>26400.0</v>
      </c>
      <c r="G11" s="4" t="s">
        <v>32</v>
      </c>
      <c r="H11" s="4" t="s">
        <v>68</v>
      </c>
      <c r="I11" s="8">
        <v>0.06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9.0</v>
      </c>
      <c r="B12" s="5" t="s">
        <v>69</v>
      </c>
      <c r="C12" s="4" t="s">
        <v>70</v>
      </c>
      <c r="D12" s="4" t="s">
        <v>50</v>
      </c>
      <c r="E12" s="6">
        <v>0.0175</v>
      </c>
      <c r="F12" s="7">
        <v>42000.0</v>
      </c>
      <c r="G12" s="4" t="s">
        <v>71</v>
      </c>
      <c r="H12" s="4" t="s">
        <v>72</v>
      </c>
      <c r="I12" s="8">
        <v>0.01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10.0</v>
      </c>
      <c r="B13" s="5" t="s">
        <v>73</v>
      </c>
      <c r="C13" s="4" t="s">
        <v>74</v>
      </c>
      <c r="D13" s="4" t="s">
        <v>74</v>
      </c>
      <c r="E13" s="14" t="s">
        <v>75</v>
      </c>
      <c r="F13" s="15"/>
      <c r="G13" s="15"/>
      <c r="H13" s="15"/>
      <c r="I13" s="1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/>
      <c r="B14" s="18" t="s">
        <v>77</v>
      </c>
      <c r="C14" s="17"/>
      <c r="D14" s="17"/>
      <c r="E14" s="19">
        <v>0.201</v>
      </c>
      <c r="F14" s="18" t="s">
        <v>79</v>
      </c>
      <c r="G14" s="17"/>
      <c r="H14" s="18" t="s">
        <v>80</v>
      </c>
      <c r="I14" s="20">
        <v>0.93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C1"/>
    <mergeCell ref="E13:I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75"/>
    <col customWidth="1" min="3" max="3" width="30.75"/>
    <col customWidth="1" min="4" max="4" width="37.0"/>
    <col customWidth="1" min="5" max="5" width="38.38"/>
    <col customWidth="1" min="6" max="6" width="2.13"/>
    <col customWidth="1" min="7" max="7" width="10.13"/>
    <col customWidth="1" min="8" max="8" width="5.1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3" t="s">
        <v>6</v>
      </c>
      <c r="D4" s="3" t="s">
        <v>7</v>
      </c>
      <c r="E4" s="3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1.0</v>
      </c>
      <c r="B5" s="4" t="s">
        <v>17</v>
      </c>
      <c r="C5" s="4" t="s">
        <v>18</v>
      </c>
      <c r="D5" s="4" t="s">
        <v>19</v>
      </c>
      <c r="E5" s="4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2.0</v>
      </c>
      <c r="B6" s="4" t="s">
        <v>22</v>
      </c>
      <c r="C6" s="4" t="s">
        <v>23</v>
      </c>
      <c r="D6" s="4" t="s">
        <v>25</v>
      </c>
      <c r="E6" s="4" t="s"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3.0</v>
      </c>
      <c r="B7" s="4" t="s">
        <v>28</v>
      </c>
      <c r="C7" s="4" t="s">
        <v>29</v>
      </c>
      <c r="D7" s="4" t="s">
        <v>30</v>
      </c>
      <c r="E7" s="4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4.0</v>
      </c>
      <c r="B8" s="4" t="s">
        <v>36</v>
      </c>
      <c r="C8" s="4" t="s">
        <v>38</v>
      </c>
      <c r="D8" s="4" t="s">
        <v>39</v>
      </c>
      <c r="E8" s="4" t="s">
        <v>40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5.0</v>
      </c>
      <c r="B9" s="4" t="s">
        <v>41</v>
      </c>
      <c r="C9" s="4" t="s">
        <v>42</v>
      </c>
      <c r="D9" s="4" t="s">
        <v>43</v>
      </c>
      <c r="E9" s="4" t="s">
        <v>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8</v>
      </c>
      <c r="B12" s="9" t="s">
        <v>52</v>
      </c>
      <c r="C12" s="9" t="s">
        <v>53</v>
      </c>
      <c r="D12" s="9" t="s">
        <v>54</v>
      </c>
      <c r="E12" s="9" t="s">
        <v>55</v>
      </c>
      <c r="F12" s="9" t="s">
        <v>56</v>
      </c>
      <c r="G12" s="9" t="s">
        <v>57</v>
      </c>
      <c r="H12" s="9" t="s">
        <v>58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61</v>
      </c>
      <c r="B13" s="11">
        <v>5.0</v>
      </c>
      <c r="C13" s="11">
        <v>5.0</v>
      </c>
      <c r="D13" s="11">
        <v>5.0</v>
      </c>
      <c r="E13" s="10">
        <f t="shared" ref="E13:E21" si="1">PRODUCT(B13:D13)</f>
        <v>125</v>
      </c>
      <c r="F13" s="12">
        <v>3.0</v>
      </c>
      <c r="G13" s="13">
        <f t="shared" ref="G13:G21" si="2">E13/F13</f>
        <v>41.66666667</v>
      </c>
      <c r="H13" s="10">
        <f t="shared" ref="H13:H21" si="3">RANK(G13,$G$13:$G$21)</f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76</v>
      </c>
      <c r="B14" s="11">
        <v>4.0</v>
      </c>
      <c r="C14" s="11">
        <v>5.0</v>
      </c>
      <c r="D14" s="11">
        <v>4.0</v>
      </c>
      <c r="E14" s="10">
        <f t="shared" si="1"/>
        <v>80</v>
      </c>
      <c r="F14" s="12">
        <v>3.0</v>
      </c>
      <c r="G14" s="13">
        <f t="shared" si="2"/>
        <v>26.66666667</v>
      </c>
      <c r="H14" s="10">
        <f t="shared" si="3"/>
        <v>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78</v>
      </c>
      <c r="B15" s="11">
        <v>4.0</v>
      </c>
      <c r="C15" s="11">
        <v>5.0</v>
      </c>
      <c r="D15" s="11">
        <v>5.0</v>
      </c>
      <c r="E15" s="10">
        <f t="shared" si="1"/>
        <v>100</v>
      </c>
      <c r="F15" s="12">
        <v>4.0</v>
      </c>
      <c r="G15" s="13">
        <f t="shared" si="2"/>
        <v>25</v>
      </c>
      <c r="H15" s="10">
        <f t="shared" si="3"/>
        <v>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81</v>
      </c>
      <c r="B16" s="11">
        <v>3.0</v>
      </c>
      <c r="C16" s="11">
        <v>5.0</v>
      </c>
      <c r="D16" s="11">
        <v>4.0</v>
      </c>
      <c r="E16" s="10">
        <f t="shared" si="1"/>
        <v>60</v>
      </c>
      <c r="F16" s="12">
        <v>2.0</v>
      </c>
      <c r="G16" s="13">
        <f t="shared" si="2"/>
        <v>30</v>
      </c>
      <c r="H16" s="10">
        <f t="shared" si="3"/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82</v>
      </c>
      <c r="B17" s="11">
        <v>3.0</v>
      </c>
      <c r="C17" s="11">
        <v>5.0</v>
      </c>
      <c r="D17" s="11">
        <v>4.0</v>
      </c>
      <c r="E17" s="10">
        <f t="shared" si="1"/>
        <v>60</v>
      </c>
      <c r="F17" s="12">
        <v>3.0</v>
      </c>
      <c r="G17" s="13">
        <f t="shared" si="2"/>
        <v>20</v>
      </c>
      <c r="H17" s="10">
        <f t="shared" si="3"/>
        <v>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83</v>
      </c>
      <c r="B18" s="11">
        <v>2.0</v>
      </c>
      <c r="C18" s="11">
        <v>5.0</v>
      </c>
      <c r="D18" s="11">
        <v>2.0</v>
      </c>
      <c r="E18" s="10">
        <f t="shared" si="1"/>
        <v>20</v>
      </c>
      <c r="F18" s="12">
        <v>3.0</v>
      </c>
      <c r="G18" s="13">
        <f t="shared" si="2"/>
        <v>6.666666667</v>
      </c>
      <c r="H18" s="10">
        <f t="shared" si="3"/>
        <v>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84</v>
      </c>
      <c r="B19" s="11">
        <v>2.0</v>
      </c>
      <c r="C19" s="11">
        <v>5.0</v>
      </c>
      <c r="D19" s="11">
        <v>3.0</v>
      </c>
      <c r="E19" s="10">
        <f t="shared" si="1"/>
        <v>30</v>
      </c>
      <c r="F19" s="12">
        <v>4.0</v>
      </c>
      <c r="G19" s="13">
        <f t="shared" si="2"/>
        <v>7.5</v>
      </c>
      <c r="H19" s="10">
        <f t="shared" si="3"/>
        <v>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85</v>
      </c>
      <c r="B20" s="11">
        <v>1.0</v>
      </c>
      <c r="C20" s="11">
        <v>5.0</v>
      </c>
      <c r="D20" s="11">
        <v>3.0</v>
      </c>
      <c r="E20" s="10">
        <f t="shared" si="1"/>
        <v>15</v>
      </c>
      <c r="F20" s="12">
        <v>1.0</v>
      </c>
      <c r="G20" s="13">
        <f t="shared" si="2"/>
        <v>15</v>
      </c>
      <c r="H20" s="10">
        <f t="shared" si="3"/>
        <v>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 t="s">
        <v>86</v>
      </c>
      <c r="B21" s="11">
        <v>2.0</v>
      </c>
      <c r="C21" s="11">
        <v>2.0</v>
      </c>
      <c r="D21" s="11">
        <v>3.0</v>
      </c>
      <c r="E21" s="10">
        <f t="shared" si="1"/>
        <v>12</v>
      </c>
      <c r="F21" s="12">
        <v>2.0</v>
      </c>
      <c r="G21" s="13">
        <f t="shared" si="2"/>
        <v>6</v>
      </c>
      <c r="H21" s="10">
        <f t="shared" si="3"/>
        <v>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8</v>
      </c>
      <c r="B25" s="4" t="s">
        <v>87</v>
      </c>
      <c r="C25" s="4" t="s">
        <v>88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61</v>
      </c>
      <c r="B26" s="4" t="s">
        <v>33</v>
      </c>
      <c r="C26" s="4">
        <v>250.0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76</v>
      </c>
      <c r="B27" s="4" t="s">
        <v>37</v>
      </c>
      <c r="C27" s="4">
        <v>200.0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78</v>
      </c>
      <c r="B28" s="4" t="s">
        <v>47</v>
      </c>
      <c r="C28" s="4">
        <v>200.0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81</v>
      </c>
      <c r="B29" s="4" t="s">
        <v>51</v>
      </c>
      <c r="C29" s="4">
        <v>150.0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82</v>
      </c>
      <c r="B30" s="4" t="s">
        <v>60</v>
      </c>
      <c r="C30" s="4">
        <v>150.0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83</v>
      </c>
      <c r="B31" s="4" t="s">
        <v>63</v>
      </c>
      <c r="C31" s="4">
        <v>100.0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84</v>
      </c>
      <c r="B32" s="4" t="s">
        <v>66</v>
      </c>
      <c r="C32" s="4">
        <v>100.0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85</v>
      </c>
      <c r="B33" s="4" t="s">
        <v>68</v>
      </c>
      <c r="C33" s="4">
        <v>50.0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86</v>
      </c>
      <c r="B34" s="4" t="s">
        <v>72</v>
      </c>
      <c r="C34" s="4">
        <v>100.0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2:C2"/>
  </mergeCells>
  <drawing r:id="rId1"/>
</worksheet>
</file>