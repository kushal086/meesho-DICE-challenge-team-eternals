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Inputs" sheetId="2" r:id="rId5"/>
    <sheet state="visible" name="Profitability" sheetId="3" r:id="rId6"/>
    <sheet state="visible" name="Unit Economics" sheetId="4" r:id="rId7"/>
    <sheet state="visible" name="India Rollout" sheetId="5" r:id="rId8"/>
    <sheet state="visible" name="Scenarios" sheetId="6" r:id="rId9"/>
    <sheet state="visible" name="Benchmarks" sheetId="7" r:id="rId10"/>
  </sheets>
  <definedNames>
    <definedName name="Running_M">'India Rollout'!$B$14</definedName>
    <definedName name="Rent_Method">Profitability!$B$19</definedName>
    <definedName name="Rent_Sold">Profitability!$B$20</definedName>
    <definedName name="ST_Target">Inputs!$B$45</definedName>
    <definedName name="COD_Share">Inputs!$B$5</definedName>
    <definedName name="Maint_P">Profitability!$B$57</definedName>
    <definedName name="Net_Sold_High">'Unit Economics'!$D$23</definedName>
    <definedName name="OneTime_Hubs">'India Rollout'!$B$12</definedName>
    <definedName name="Gateway">Inputs!$B$27</definedName>
    <definedName name="Y_ST">'India Rollout'!$B$18:$E$18</definedName>
    <definedName name="Eligible">Inputs!$B$10</definedName>
    <definedName name="RTO_Prepaid">Inputs!$B$7</definedName>
    <definedName name="Prof2">Profitability!$C$34</definedName>
    <definedName name="Hubs">Inputs!$B$8</definedName>
    <definedName name="RTO_Rate">'India Rollout'!$B$3</definedName>
    <definedName name="Y_NetBase">'India Rollout'!$B$21:$E$21</definedName>
    <definedName name="Remote_Uplift">'Unit Economics'!$B$41</definedName>
    <definedName name="TierB_Transfer">'Unit Economics'!$C$39</definedName>
    <definedName name="Save_Unsold">'Unit Economics'!$E$24</definedName>
    <definedName name="C_Training">Inputs!$B$53</definedName>
    <definedName name="Route_Sourced">'Unit Economics'!$B$32</definedName>
    <definedName name="ST_M1">Profitability!$B$22</definedName>
    <definedName name="Rent_Parcel">Profitability!$B$18</definedName>
    <definedName name="AOV">Inputs!$B$39</definedName>
    <definedName name="Route_High">Inputs!$B$26</definedName>
    <definedName name="N_FMCart">Inputs!$B$15</definedName>
    <definedName name="Routed_D_P">Profitability!$B$55</definedName>
    <definedName name="LM_Remote">Inputs!$B$31</definedName>
    <definedName name="YP_Base">Profitability!$B$104:$E$104</definedName>
    <definedName name="Y_Share">'India Rollout'!$B$20:$E$20</definedName>
    <definedName name="Y_Saved">'India Rollout'!$B$19:$E$19</definedName>
    <definedName name="Days_Sold">Inputs!$B$35</definedName>
    <definedName name="Prof1">Profitability!$B$34</definedName>
    <definedName name="RTO_Cost_Year">'India Rollout'!$B$24</definedName>
    <definedName name="N_FMSC">Inputs!$B$16</definedName>
    <definedName name="Orders">Inputs!$B$4</definedName>
    <definedName name="RTO_Day">'India Rollout'!$B$4</definedName>
    <definedName name="Routed_Hub">Profitability!$B$17</definedName>
    <definedName name="OneTime_P">Profitability!$B$58</definedName>
    <definedName name="Shelf">Inputs!$B$9</definedName>
    <definedName name="Leg_Other">'Unit Economics'!$B$7</definedName>
    <definedName name="C_Scanner">Inputs!$B$51</definedName>
    <definedName name="Save_Sold_High">'Unit Economics'!$D$24</definedName>
    <definedName name="Payback_High">'India Rollout'!$C$23</definedName>
    <definedName name="Rent_Hub">Profitability!$B$16</definedName>
    <definedName name="N_LMSC">Inputs!$B$18</definedName>
    <definedName name="OneTime_Central">'India Rollout'!$B$11</definedName>
    <definedName name="Other_Avoid">Inputs!$B$22</definedName>
    <definedName name="Rev_Sale">Profitability!$B$12</definedName>
    <definedName name="N_LMDC">Inputs!$B$20</definedName>
    <definedName name="C_Maint">Inputs!$B$54</definedName>
    <definedName name="N_FMHub">Inputs!$B$14</definedName>
    <definedName name="Leg_Attempt">'Unit Economics'!$B$5</definedName>
    <definedName name="Cap_Day">'India Rollout'!$B$6</definedName>
    <definedName name="Rent_Unsold">Profitability!$B$21</definedName>
    <definedName name="Net_Today">'Unit Economics'!$B$23</definedName>
    <definedName name="RTO_Avoid_Sale">Profitability!$B$125</definedName>
    <definedName name="ST_Start">Inputs!$B$44</definedName>
    <definedName name="C_Support">Inputs!$B$55</definedName>
    <definedName name="C_HubMonthly">Inputs!$B$56</definedName>
    <definedName name="Elig_Day">'India Rollout'!$B$5</definedName>
    <definedName name="ST_M12">Profitability!$B$23</definedName>
    <definedName name="OneTime">'India Rollout'!$B$13</definedName>
    <definedName name="N_RLH">Inputs!$B$19</definedName>
    <definedName name="N_NLH">Inputs!$B$17</definedName>
    <definedName name="Reverse">Inputs!$B$21</definedName>
    <definedName name="Hold_Day">Inputs!$B$34</definedName>
    <definedName name="Routed_Day">'India Rollout'!$B$7</definedName>
    <definedName name="TierB_Share">Inputs!$B$32</definedName>
    <definedName name="C_Racks">Inputs!$B$52</definedName>
    <definedName name="FeeE_P">Profitability!$B$10</definedName>
    <definedName name="Ramp">Inputs!$B$46</definedName>
    <definedName name="Routed_M_P">Profitability!$B$56</definedName>
    <definedName name="RTO_COD">Inputs!$B$6</definedName>
    <definedName name="Y_NetHigh">'India Rollout'!$B$22:$E$22</definedName>
    <definedName name="Save_Sold_Base">'Unit Economics'!$C$24</definedName>
    <definedName name="Payback_Base">'India Rollout'!$B$23</definedName>
    <definedName name="Leg_Reverse">'Unit Economics'!$B$6</definedName>
    <definedName name="RTO_Total">Inputs!$B$13</definedName>
    <definedName name="Fee_Seller">Inputs!$B$41</definedName>
    <definedName name="C_Build">Inputs!$B$49</definedName>
    <definedName name="Net_Unsold">'Unit Economics'!$E$23</definedName>
    <definedName name="Fee_Express">Inputs!$B$40</definedName>
    <definedName name="Handling">Inputs!$B$33</definedName>
    <definedName name="Prof3">Profitability!$D$34</definedName>
    <definedName name="ST_M36">Profitability!$B$24</definedName>
    <definedName name="TierB_Extra">'Unit Economics'!$B$39</definedName>
    <definedName name="Hold_Max">Inputs!$B$36</definedName>
    <definedName name="Label">Inputs!$B$29</definedName>
    <definedName name="AOV_P">Profitability!$B$9</definedName>
    <definedName name="Net_Sold_Base">'Unit Economics'!$C$23</definedName>
    <definedName name="C_Cloud">Inputs!$B$50</definedName>
    <definedName name="Printer_Note">Inputs!$B$57</definedName>
    <definedName name="FeeS_P">Profitability!$B$11</definedName>
    <definedName name="Route_Base">Inputs!$B$25</definedName>
    <definedName name="Leg_Forward">'Unit Economics'!$B$4</definedName>
    <definedName name="Wage">Inputs!$B$30</definedName>
    <definedName name="Bag">Inputs!$B$28</definedName>
  </definedNames>
  <calcPr/>
  <extLst>
    <ext uri="GoogleSheetsCustomDataVersion2">
      <go:sheetsCustomData xmlns:go="http://customooxmlschemas.google.com/" r:id="rId11" roundtripDataChecksum="+CmorCKpIMEYf+Dl+d3XbTK4vYkUHBepFGi+qkPErAA="/>
    </ext>
  </extLst>
</workbook>
</file>

<file path=xl/sharedStrings.xml><?xml version="1.0" encoding="utf-8"?>
<sst xmlns="http://schemas.openxmlformats.org/spreadsheetml/2006/main" count="590" uniqueCount="447">
  <si>
    <t>Unit economics — one RTO parcel</t>
  </si>
  <si>
    <t>Hypersale — financial summary</t>
  </si>
  <si>
    <t>Input Costs</t>
  </si>
  <si>
    <t>Assumption</t>
  </si>
  <si>
    <t>A.  What one RTO costs today</t>
  </si>
  <si>
    <t>Per parcel</t>
  </si>
  <si>
    <t>Value</t>
  </si>
  <si>
    <t>Unit</t>
  </si>
  <si>
    <t>Source / note</t>
  </si>
  <si>
    <t>A.  Network &amp; volume</t>
  </si>
  <si>
    <t>India-wide (all 2,700 hubs)</t>
  </si>
  <si>
    <t>Valmo orders per day</t>
  </si>
  <si>
    <t>Cost leg</t>
  </si>
  <si>
    <t>₹35 base</t>
  </si>
  <si>
    <t>₹45 high</t>
  </si>
  <si>
    <t>orders</t>
  </si>
  <si>
    <t>₹ per RTO</t>
  </si>
  <si>
    <t>Today: cost of one RTO</t>
  </si>
  <si>
    <t>Team field research: ~42 lakh Valmo orders/day</t>
  </si>
  <si>
    <t>How it's calculated</t>
  </si>
  <si>
    <t>Forward trip to the last-mile hub</t>
  </si>
  <si>
    <t>COD share of orders</t>
  </si>
  <si>
    <t>%</t>
  </si>
  <si>
    <t>Case data pack</t>
  </si>
  <si>
    <t>RTO rate — COD orders</t>
  </si>
  <si>
    <t>RTO rate — prepaid orders</t>
  </si>
  <si>
    <t>Valmo last-mile hubs</t>
  </si>
  <si>
    <t>hubs</t>
  </si>
  <si>
    <t>Team field research</t>
  </si>
  <si>
    <t>Hold-shelf capacity per hub</t>
  </si>
  <si>
    <t>Year 1 net profit (after setup)</t>
  </si>
  <si>
    <t>Sum of the six case-pack node costs before last mile</t>
  </si>
  <si>
    <t>Failed last-mile attempt</t>
  </si>
  <si>
    <t>parcels/week</t>
  </si>
  <si>
    <t>Shelf holds one week of RTO pieces (~500/hub)</t>
  </si>
  <si>
    <t>LMDC node cost</t>
  </si>
  <si>
    <t>Reverse trip back to the seller</t>
  </si>
  <si>
    <t>Share of RTO parcels eligible for Hypersale</t>
  </si>
  <si>
    <t>Team assumption: retraces the forward path</t>
  </si>
  <si>
    <t>Rest excluded: opened/damaged, large, perishable (cf. Ozon's exclusions)</t>
  </si>
  <si>
    <t>Other RTO costs (not broken down in the pack)</t>
  </si>
  <si>
    <t>Residual: ₹120 minus the three legs above</t>
  </si>
  <si>
    <t>Total cost of one RTO today</t>
  </si>
  <si>
    <t>B.  Today's cost of one RTO (₹ per order)</t>
  </si>
  <si>
    <t>Total cost of one RTO</t>
  </si>
  <si>
    <t>B.  One RTO parcel: today vs Hypersale</t>
  </si>
  <si>
    <t>₹/order</t>
  </si>
  <si>
    <t>Case data pack: ₹120 per RTO shipment (total)</t>
  </si>
  <si>
    <t>Node cost — First-mile hub</t>
  </si>
  <si>
    <t>Line item (₹ per parcel)</t>
  </si>
  <si>
    <t>Case data pack node split</t>
  </si>
  <si>
    <t>Node cost — First-mile carting</t>
  </si>
  <si>
    <t>Today: return to seller</t>
  </si>
  <si>
    <t>Hypersale: sold (₹35 base)</t>
  </si>
  <si>
    <t>Node cost — Source sort centre (FMSC)</t>
  </si>
  <si>
    <t>Hypersale: sold (₹45 high)</t>
  </si>
  <si>
    <t>Hypersale: not sold in 7 days</t>
  </si>
  <si>
    <t>Node cost — National line haul</t>
  </si>
  <si>
    <t>Note</t>
  </si>
  <si>
    <t>Forward trip (already spent)</t>
  </si>
  <si>
    <t>Node cost — Destination sort centre (LMSC)</t>
  </si>
  <si>
    <t>Node cost — Regional line haul</t>
  </si>
  <si>
    <t>Node cost — Last-mile delivery (LMDC)</t>
  </si>
  <si>
    <t>Rest ₹7 Accounted later</t>
  </si>
  <si>
    <t>Retraces the forward path to the last-mile hub (₹29); not given separately in the pack</t>
  </si>
  <si>
    <t>Share of 'other RTO costs' avoided when the item is resold</t>
  </si>
  <si>
    <t>Saving when a parcel sells</t>
  </si>
  <si>
    <t>atleast ₹24 is saved</t>
  </si>
  <si>
    <t>Same in every case</t>
  </si>
  <si>
    <t>C.  Hypersale cost per sale</t>
  </si>
  <si>
    <t>Routing + repack + delivery — BASE case</t>
  </si>
  <si>
    <t>₹/sale</t>
  </si>
  <si>
    <t>Anchored to the sourced breakup on 'Unit Economics' (₹31.7) + ~4 min hub labour</t>
  </si>
  <si>
    <t>Routing + repack + delivery — HIGH case</t>
  </si>
  <si>
    <t>Failed attempt (already spent)</t>
  </si>
  <si>
    <t>₹31.7 sourced + ~17 min hub labour, re-sort and support</t>
  </si>
  <si>
    <t>Payment gateway fee (Hypersale is prepaid only)</t>
  </si>
  <si>
    <t>% of payment</t>
  </si>
  <si>
    <t>Razorpay standard: 2% + 18% GST</t>
  </si>
  <si>
    <t>Reverse trip to seller</t>
  </si>
  <si>
    <t>New tamper-proof courier bag</t>
  </si>
  <si>
    <t>Year 2 net profit</t>
  </si>
  <si>
    <t>IndiaMART: LDPE security envelope, ₹3/piece</t>
  </si>
  <si>
    <t>New shipping label</t>
  </si>
  <si>
    <t>IndiaMART label listings: ₹0.25–1/piece (top used)</t>
  </si>
  <si>
    <t>Hub staff wage</t>
  </si>
  <si>
    <t>₹/month</t>
  </si>
  <si>
    <t>500 x 7 x (30/7) with ₹7 commission to hub manager</t>
  </si>
  <si>
    <t>Last-mile cost when the buyer is at another hub</t>
  </si>
  <si>
    <t>Team assumption for extended-radius deliveries (vs ₹21 local)</t>
  </si>
  <si>
    <t>Share of sales delivered from another hub (Tier B)</t>
  </si>
  <si>
    <t>Needs hub data; see 'Scenarios' for 10–65%</t>
  </si>
  <si>
    <t>Listing / QC cost per held item (paid even if unsold)</t>
  </si>
  <si>
    <t>₹/item</t>
  </si>
  <si>
    <t>Set to 0 if already inside the ₹35/₹45</t>
  </si>
  <si>
    <t>Holding cost per item per day</t>
  </si>
  <si>
    <t>Avoided only when the item sells</t>
  </si>
  <si>
    <t>Other RTO costs</t>
  </si>
  <si>
    <t>₹/item/day</t>
  </si>
  <si>
    <t>Rent ₹10,000/month ÷ 30 days ÷ parcels sitting on the shelf at one time (≈ one week's intake = Shelf). Rent counted here only.</t>
  </si>
  <si>
    <t>Average days held before a sale</t>
  </si>
  <si>
    <t>days</t>
  </si>
  <si>
    <t>Needs pilot data</t>
  </si>
  <si>
    <t>Maximum hold window</t>
  </si>
  <si>
    <t>Share avoided is a missing input (0%)</t>
  </si>
  <si>
    <t>Unsold items go back to the seller after 7 days</t>
  </si>
  <si>
    <t>Routing + repack + delivery to new buyer</t>
  </si>
  <si>
    <t>D.  Hypersale revenue</t>
  </si>
  <si>
    <t>Average order value</t>
  </si>
  <si>
    <t>Customer express fee</t>
  </si>
  <si>
    <t>% of AOV</t>
  </si>
  <si>
    <t>Equals ₹15; team's own ₹10–15 for 1-day delivery. Ref: Amazon ₹5, Flipkart ₹3 platform fees</t>
  </si>
  <si>
    <t>Seller protection fee</t>
  </si>
  <si>
    <t>Equals ₹20; no benchmark — sellers' alternative is a ₹35–45 reship (Shiprocket)</t>
  </si>
  <si>
    <t>E.  Demand (sell-through)</t>
  </si>
  <si>
    <t>₹35 / ₹45 (breakup in section 3)</t>
  </si>
  <si>
    <t>Saving when it doesn't sell</t>
  </si>
  <si>
    <t>Extra cost for buyers at another hub (avg)</t>
  </si>
  <si>
    <t>Sell-through in month 1</t>
  </si>
  <si>
    <t>Team assumption</t>
  </si>
  <si>
    <t>Tier B share × extra cost (section 4)</t>
  </si>
  <si>
    <t>Sell-through at steady state</t>
  </si>
  <si>
    <t>Listing / QC handling</t>
  </si>
  <si>
    <t>Ceiling proxy: Zomato Food Rescue ~1.5 of ~4 lakh cancelled orders/month (Storyboard18, Mar 2025)</t>
  </si>
  <si>
    <t>Months to reach steady state</t>
  </si>
  <si>
    <t>months</t>
  </si>
  <si>
    <t>Linear climb month on month</t>
  </si>
  <si>
    <t>F.  Setup &amp; running costs</t>
  </si>
  <si>
    <t>3-year net profit</t>
  </si>
  <si>
    <t>App/site build (Hypersale tab, hold logic, hub screens)</t>
  </si>
  <si>
    <t>₹ one-time</t>
  </si>
  <si>
    <t>IndianWeb 2026 guide: enterprise build ₹20 L–₹1 Cr+ (top used)</t>
  </si>
  <si>
    <t>Cloud infrastructure setup</t>
  </si>
  <si>
    <t>Missing input (0)</t>
  </si>
  <si>
    <t>IRPR Agency 2026: under ₹2 lakh</t>
  </si>
  <si>
    <t>Barcode scanner per hub</t>
  </si>
  <si>
    <t>Holding on the shelf</t>
  </si>
  <si>
    <t>₹ per hub</t>
  </si>
  <si>
    <t>Techjockey: TVS BSC 101</t>
  </si>
  <si>
    <t>Storage racks per hub</t>
  </si>
  <si>
    <t>Rack spec found, no reliable price</t>
  </si>
  <si>
    <t>Hub training per hub</t>
  </si>
  <si>
    <t>No source yet</t>
  </si>
  <si>
    <t>App maintenance &amp; support</t>
  </si>
  <si>
    <t>IndianWeb 2026 guide: ₹1.5–6 L/month (top used)</t>
  </si>
  <si>
    <t>Customer support for Hypersale orders</t>
  </si>
  <si>
    <t>No incremental value</t>
  </si>
  <si>
    <t>Per-hub running cost (space payout, staff time, consumables)</t>
  </si>
  <si>
    <t>₹/hub/month</t>
  </si>
  <si>
    <t>Set to 0: the ₹10,000 rent is already in the holding cost per item (row 38). Enter only costs other than rent here.</t>
  </si>
  <si>
    <t>Label printer</t>
  </si>
  <si>
    <t>Every hub already has one (team field data)</t>
  </si>
  <si>
    <t>Total cost</t>
  </si>
  <si>
    <t>Saving per parcel routed (steady state)</t>
  </si>
  <si>
    <t>Paid only on a Hypersale sale</t>
  </si>
  <si>
    <t>Payback month</t>
  </si>
  <si>
    <t>NET cost per parcel</t>
  </si>
  <si>
    <t>Furthest profitable radius</t>
  </si>
  <si>
    <t>Saving vs today</t>
  </si>
  <si>
    <t>C.  What's inside the ₹35 / ₹45 routing cost</t>
  </si>
  <si>
    <t>One-time setup cost</t>
  </si>
  <si>
    <t>Component</t>
  </si>
  <si>
    <t>₹ per sale</t>
  </si>
  <si>
    <t>Source</t>
  </si>
  <si>
    <t>Last-mile delivery to the new buyer</t>
  </si>
  <si>
    <t>Case data pack LMDC node</t>
  </si>
  <si>
    <t>Payment gateway (on price + express fee)</t>
  </si>
  <si>
    <t>RTO impact</t>
  </si>
  <si>
    <t>Razorpay 2.36%</t>
  </si>
  <si>
    <t>New courier bag</t>
  </si>
  <si>
    <t>Year 1</t>
  </si>
  <si>
    <t>Year 2</t>
  </si>
  <si>
    <t>IndiaMART</t>
  </si>
  <si>
    <t>New label</t>
  </si>
  <si>
    <t>RTO parcels saved from the reverse trip</t>
  </si>
  <si>
    <t>Sourced components</t>
  </si>
  <si>
    <t>Left for hub labour, re-sort, support — base / high</t>
  </si>
  <si>
    <t>Base in column C, high in column D</t>
  </si>
  <si>
    <t>…which buys this many minutes of hub staff time — base / high</t>
  </si>
  <si>
    <t>Share of all RTO parcels saved</t>
  </si>
  <si>
    <t>Wage ÷ (26 days × 8 h × 60 min). A hub time-check settles which case is closer.</t>
  </si>
  <si>
    <t>D.  Remote hubs — how far can the radius extend?</t>
  </si>
  <si>
    <t>Where the buyer is</t>
  </si>
  <si>
    <t>Extra last mile</t>
  </si>
  <si>
    <t>Transfer cost</t>
  </si>
  <si>
    <t>Saving per sale — ₹35</t>
  </si>
  <si>
    <t>Saving per sale — ₹45</t>
  </si>
  <si>
    <t>Extend the radius here?</t>
  </si>
  <si>
    <t>A — same hub (local)</t>
  </si>
  <si>
    <t>Parcels routed into Hypersale per day</t>
  </si>
  <si>
    <t>Hypersale profitability — the channel pays for itself on fees alone</t>
  </si>
  <si>
    <t>A.  What this view counts, and what it leaves out</t>
  </si>
  <si>
    <t>Counted as revenue</t>
  </si>
  <si>
    <t>B — another hub, same sort centre</t>
  </si>
  <si>
    <t>Customer express fee + seller protection fee, on every Hypersale sale</t>
  </si>
  <si>
    <t>Today's total Valmo RTO cost per year</t>
  </si>
  <si>
    <t>Counted as cost</t>
  </si>
  <si>
    <t>Routing + repack + delivery to the new buyer, and shelf rent</t>
  </si>
  <si>
    <t>NOT counted (upside)</t>
  </si>
  <si>
    <t>The ₹29 reverse trip the sale avoids, and any share of the ₹62 other RTO cost — shown as a memo line only</t>
  </si>
  <si>
    <t>NOT counted (removed)</t>
  </si>
  <si>
    <t>The ₹6.5 average remote-hub transfer cost</t>
  </si>
  <si>
    <t>Key assumptions</t>
  </si>
  <si>
    <t>B.  Inputs for this view</t>
  </si>
  <si>
    <t>Input</t>
  </si>
  <si>
    <t>C — a hub in another city</t>
  </si>
  <si>
    <t>Type</t>
  </si>
  <si>
    <t>Sell-through: month 1 → steady state</t>
  </si>
  <si>
    <t>Revenue per Hypersale sale</t>
  </si>
  <si>
    <t>Average extra cost per sale (Tier B share × Tier B extra cost)</t>
  </si>
  <si>
    <t>Routing + repack + delivery — case 1</t>
  </si>
  <si>
    <t>Assumption; 37.5% = Zomato proxy (ceiling)</t>
  </si>
  <si>
    <t>Tier B share is a missing input (0%) — see Scenarios</t>
  </si>
  <si>
    <t>Routing + repack + delivery — case 2</t>
  </si>
  <si>
    <t>Routing + repack + delivery — case 3</t>
  </si>
  <si>
    <t>Routing + repack + delivery per sale</t>
  </si>
  <si>
    <t>Shelf rent per hub</t>
  </si>
  <si>
    <t>Parcels routed per hub</t>
  </si>
  <si>
    <t>parcels/month</t>
  </si>
  <si>
    <t>Assumption anchored to ₹31.7 sourced</t>
  </si>
  <si>
    <t>Shelf rent per parcel routed</t>
  </si>
  <si>
    <t>Fees per sale (express + seller)</t>
  </si>
  <si>
    <t>₹/parcel</t>
  </si>
  <si>
    <t>Rent method: 1 = once per parcel routed, 2 = per day on the shelf</t>
  </si>
  <si>
    <t>1 or 2</t>
  </si>
  <si>
    <t>Rent charged to a parcel that sells</t>
  </si>
  <si>
    <t>Rent charged to a parcel that does not sell</t>
  </si>
  <si>
    <t>Eligible share of RTO parcels</t>
  </si>
  <si>
    <t>Sell-through, month 1</t>
  </si>
  <si>
    <t>Sell-through, end of year 1 (month 12)</t>
  </si>
  <si>
    <t>Sell-through, end of year 3 (month 36)</t>
  </si>
  <si>
    <t>C.  Profit on one Hypersale sale</t>
  </si>
  <si>
    <t>RTO parcels routed limited by</t>
  </si>
  <si>
    <t>₹35 case</t>
  </si>
  <si>
    <t>₹40 case</t>
  </si>
  <si>
    <t>₹45 case</t>
  </si>
  <si>
    <t>Design decision</t>
  </si>
  <si>
    <t>App build + cloud setup</t>
  </si>
  <si>
    <t>Revenue per sale</t>
  </si>
  <si>
    <t>Published source (top of range)</t>
  </si>
  <si>
    <t>Routing + repack + delivery to the new buyer</t>
  </si>
  <si>
    <t>Shelf rent</t>
  </si>
  <si>
    <t>Cost per sale</t>
  </si>
  <si>
    <t>PROFIT per sale</t>
  </si>
  <si>
    <t>Margin on the sale</t>
  </si>
  <si>
    <t>D.  Profit on one parcel put on the shelf (sold and unsold together)</t>
  </si>
  <si>
    <t>Sell-through</t>
  </si>
  <si>
    <t>India rollout — volume, costs and 3-year results</t>
  </si>
  <si>
    <t>A.  How many parcels go into Hypersale</t>
  </si>
  <si>
    <t>Blended RTO rate</t>
  </si>
  <si>
    <t>80% × 20% + 20% × 5%</t>
  </si>
  <si>
    <t>RTO parcels per day</t>
  </si>
  <si>
    <t>Orders × RTO rate</t>
  </si>
  <si>
    <t>RTO parcels per day of which eligible for Hypersale</t>
  </si>
  <si>
    <t>× 90% eligible</t>
  </si>
  <si>
    <t>Shelf capacity across all hubs, per day</t>
  </si>
  <si>
    <t>2,700 hubs × 500 per week ÷ 7</t>
  </si>
  <si>
    <t>The lower of the two</t>
  </si>
  <si>
    <t>What limits volume?</t>
  </si>
  <si>
    <t>More shelf/kirana hold space raises volume if shelf-limited</t>
  </si>
  <si>
    <t>B.  Setup and running costs</t>
  </si>
  <si>
    <t>One-time: app/site build + cloud setup</t>
  </si>
  <si>
    <t>One-time: hub equipment (scanner + racks + training) × hubs</t>
  </si>
  <si>
    <t>Break-even sell-through</t>
  </si>
  <si>
    <t>TOTAL one-time cost (charged in month 1)</t>
  </si>
  <si>
    <t>Monthly running: maintenance + support + per-hub costs × hubs</t>
  </si>
  <si>
    <t>C.  Results by year</t>
  </si>
  <si>
    <t>E.  Check: does the rent charged match the rent actually paid?</t>
  </si>
  <si>
    <t>Year 3</t>
  </si>
  <si>
    <t>3-year total</t>
  </si>
  <si>
    <t>Average sell-through</t>
  </si>
  <si>
    <t>Rent actually paid per hub per month</t>
  </si>
  <si>
    <t>Rent charged to parcels per hub per month, at 37.5% sell-through</t>
  </si>
  <si>
    <t>Over- or under-charged</t>
  </si>
  <si>
    <t>F.  India-wide volume</t>
  </si>
  <si>
    <t>Parcels routed per month</t>
  </si>
  <si>
    <t>Running cost per month</t>
  </si>
  <si>
    <t>One-time build cost</t>
  </si>
  <si>
    <t>G.  Sell-through ramp and monthly profit</t>
  </si>
  <si>
    <t>Sell-through climbs in a straight line from 5% in month 1 to 20% at month 12, then on to 37.5% at month 36.</t>
  </si>
  <si>
    <t>Net profit — ₹35 base</t>
  </si>
  <si>
    <t>Month</t>
  </si>
  <si>
    <t>Parcels routed</t>
  </si>
  <si>
    <t>Sales</t>
  </si>
  <si>
    <t>Net — ₹35</t>
  </si>
  <si>
    <t>Cum. — ₹35</t>
  </si>
  <si>
    <t>Net — ₹40</t>
  </si>
  <si>
    <t>Cum. — ₹40</t>
  </si>
  <si>
    <t>Net — ₹45</t>
  </si>
  <si>
    <t>Cum. — ₹45</t>
  </si>
  <si>
    <t>Reverse trips avoided</t>
  </si>
  <si>
    <t>Net profit — ₹45 high</t>
  </si>
  <si>
    <t>Payback month — ₹35 base / ₹45 high</t>
  </si>
  <si>
    <t>Today's total Valmo RTO cost per year (for scale)</t>
  </si>
  <si>
    <t>D.  Month-by-month detail</t>
  </si>
  <si>
    <t>Sold = RTO saved</t>
  </si>
  <si>
    <t>Saving — ₹35</t>
  </si>
  <si>
    <t>Saving — ₹45</t>
  </si>
  <si>
    <t>Running cost</t>
  </si>
  <si>
    <t>One-time cost</t>
  </si>
  <si>
    <t>Cumulative — ₹35</t>
  </si>
  <si>
    <t>Cumulative — ₹45</t>
  </si>
  <si>
    <t>Scenarios - what if the assumptions are wrong?</t>
  </si>
  <si>
    <t>A.  Saving per parcel routed into Hypersale (sold and unsold averaged)</t>
  </si>
  <si>
    <t>B.  Annual net profit, India-wide (steady state)</t>
  </si>
  <si>
    <t>RTO parcels saved / year</t>
  </si>
  <si>
    <t>Share of RTO saved</t>
  </si>
  <si>
    <t>C.  Annual net profit if some buyers are at another hub (Tier B)</t>
  </si>
  <si>
    <t>Share of sales via Tier B</t>
  </si>
  <si>
    <t>Extra cost per sale (avg)</t>
  </si>
  <si>
    <t>Benchmarks — who else resells failed deliveries locally</t>
  </si>
  <si>
    <t>Company</t>
  </si>
  <si>
    <t>What they do</t>
  </si>
  <si>
    <t>Key number</t>
  </si>
  <si>
    <t>Lesson for Hypersale</t>
  </si>
  <si>
    <t>Ozon (Russia) — closest match</t>
  </si>
  <si>
    <t>Since 10 Sep 2026, refused or uncollected orders stay at the pickup point and are re-listed, if the point has shelf space. Large items, perishables and jewellery excluded. Automatic for sellers.</t>
  </si>
  <si>
    <t>Pickup-point owners paid 0.20 RUB per litre per day for held stock</t>
  </si>
  <si>
    <t>Gate eligibility on shelf space; exclude categories; pay the hub for storage</t>
  </si>
  <si>
    <t>selsup.ru/blog/ozon-prodazha-tovarov-iz-pvz</t>
  </si>
  <si>
    <t>Zomato Food Rescue (India)</t>
  </si>
  <si>
    <t>A cancelled order in transit is offered to users within 3 km at a lower price. Prepaid only; the original customer can't rebuy it; 2 cancellations per user per month.</t>
  </si>
  <si>
    <t>~4 lakh cancelled orders/month; 75% of eligible orders claimed (Mar 2025)</t>
  </si>
  <si>
    <t>Anti-gaming rules; prepaid only; let sellers opt out (mandatory rollout drew pushback)</t>
  </si>
  <si>
    <t>storyboard18.com; greenqueen.com.hk</t>
  </si>
  <si>
    <t>Wildberries (Russia)</t>
  </si>
  <si>
    <t>Customers pay a fee for refusing or not collecting an order.</t>
  </si>
  <si>
    <t>100 RUB refusal / 200 RUB not collected (Mar 2025); ≤1% of orders</t>
  </si>
  <si>
    <t>Pairs with Hypersale: the refuser pays part of the wasted trip</t>
  </si>
  <si>
    <t>oborot.ru</t>
  </si>
  <si>
    <t>Amazon Grade &amp; Resell (UK/US/EU)</t>
  </si>
  <si>
    <t>Returned items graded into 4 conditions and re-listed as used at the seller's chosen price.</t>
  </si>
  <si>
    <t>Live UK 2021, US end-2021, EU 2022</t>
  </si>
  <si>
    <t>Add a condition check; full price only for sealed parcels</t>
  </si>
  <si>
    <t>aboutamazon.co.uk</t>
  </si>
  <si>
    <t>Amazon FBA Liquidations</t>
  </si>
  <si>
    <t>Returned or excess stock sold in bulk to resale partners instead of shipping back.</t>
  </si>
  <si>
    <t>No figures published</t>
  </si>
  <si>
    <t>Day-8 fallback for unsold items instead of the full reverse trip</t>
  </si>
  <si>
    <t>Returnless refunds (Amazon, Walmart)</t>
  </si>
  <si>
    <t>When a return costs more than the item is worth, the item is never collected.</t>
  </si>
  <si>
    <t>Return processing ~$12–33 (vendor estimate)</t>
  </si>
  <si>
    <t>At ₹270 AOV a ₹120 RTO is 44% of value — set a price floor for Hypersale</t>
  </si>
  <si>
    <t>claimlane.com</t>
  </si>
  <si>
    <t>Jumia (Africa)</t>
  </si>
  <si>
    <t>Failed deliveries checked in the local warehouse; passing items re-listed, failing items disposed of locally.</t>
  </si>
  <si>
    <t>Local QC gate; local disposal for items that fail it</t>
  </si>
  <si>
    <t>vendor.jumia.com</t>
  </si>
  <si>
    <t>Too Good To Go (Europe/US)</t>
  </si>
  <si>
    <t>Nearby surplus shown on a map, reserved and paid in-app, collected at a set time.</t>
  </si>
  <si>
    <t>Food at half price or less</t>
  </si>
  <si>
    <t>UX model for a local, prepaid, time-boxed listing</t>
  </si>
  <si>
    <t>toogoodtogo.com</t>
  </si>
  <si>
    <t>Flipkart 2GUD (India)</t>
  </si>
  <si>
    <t>Marketplace for certified returned and refurbished goods with warranties.</t>
  </si>
  <si>
    <t>Priced at 50–80% of original</t>
  </si>
  <si>
    <t>Opened goods needed a discount — keep original price for sealed parcels only</t>
  </si>
  <si>
    <t>entrackr.com</t>
  </si>
  <si>
    <t>H.  Results by year</t>
  </si>
  <si>
    <t>Hypersale sales</t>
  </si>
  <si>
    <t>Net profit — ₹35</t>
  </si>
  <si>
    <t>Net profit — ₹40</t>
  </si>
  <si>
    <t>Net profit — ₹45</t>
  </si>
  <si>
    <t>MEMO: reverse trips avoided (not in profit)</t>
  </si>
  <si>
    <t>Payback month — ₹35 / ₹40 / ₹45</t>
  </si>
  <si>
    <t>Profit per sale once the ramp is done (month 36)</t>
  </si>
  <si>
    <t>I.  Operational break-even and payback — extended to 120 months</t>
  </si>
  <si>
    <t>A.  Profit only — fees minus costs (as in sections 3–8)</t>
  </si>
  <si>
    <t>Profit per sale once the ramp is done</t>
  </si>
  <si>
    <t>Sell-through assumed after month 36</t>
  </si>
  <si>
    <t>Sell-through needed to cover the monthly running cost</t>
  </si>
  <si>
    <t>Operational break-even month</t>
  </si>
  <si>
    <t xml:space="preserve">   …which is</t>
  </si>
  <si>
    <t>Payback month (build cost recovered)</t>
  </si>
  <si>
    <t>Deepest cumulative loss (cash tied up before it turns)</t>
  </si>
  <si>
    <t xml:space="preserve">   …reached in month</t>
  </si>
  <si>
    <t>Cumulative profit at month 120</t>
  </si>
  <si>
    <t>B.  Also counting the RTO cost saved on every sale</t>
  </si>
  <si>
    <t>Share of 'other RTO costs' (₹62) avoided when a parcel sells</t>
  </si>
  <si>
    <t>RTO cost avoided per parcel that sells (reverse trip + other costs)</t>
  </si>
  <si>
    <t>Deepest cumulative position (cash tied up)</t>
  </si>
  <si>
    <t>Checks (must be zero): A — month-36 cumulative vs section 7;  B — vs section 10 totals</t>
  </si>
  <si>
    <t>J.  How the RTO saving is counted — the other model's logic, on this sheet's case</t>
  </si>
  <si>
    <t>Per parcel that sells (₹)</t>
  </si>
  <si>
    <t>Forward trip to the hub — already spent, not saved</t>
  </si>
  <si>
    <t>Reverse trip back to the seller — avoided</t>
  </si>
  <si>
    <t>Other RTO costs avoided (₹62 × share in section 9)</t>
  </si>
  <si>
    <t>RTO cost avoided per parcel that sells</t>
  </si>
  <si>
    <t>Hypersale profit per sale (section 3: fees − routing − rent)</t>
  </si>
  <si>
    <t>Total gain per parcel that sells</t>
  </si>
  <si>
    <t>Same figure in the other model (Unit Economics: saving when sold)</t>
  </si>
  <si>
    <t>n/a</t>
  </si>
  <si>
    <t>Gap: other model minus this sheet</t>
  </si>
  <si>
    <t>The gap is only the shelf-cost method. The other model charges the daily shelf cost for every day held (₹2.28 × 3 days = ₹6.83 on a sale, × 7 days = ₹15.93 on an unsold parcel). This sheet charges the hub rent once per parcel routed (₹2.28 either way), which reconciles to the rent actually paid (section 5). Unsold parcels are the bigger gap.</t>
  </si>
  <si>
    <t>Parcel that does not sell — gain / loss, this sheet</t>
  </si>
  <si>
    <t>Parcel that does not sell — other model (saving when unsold)</t>
  </si>
  <si>
    <t>Operational break-even month, by how the RTO saving is counted</t>
  </si>
  <si>
    <t>RTO avoided per sale</t>
  </si>
  <si>
    <t>Profit only — no RTO saving</t>
  </si>
  <si>
    <t>Reverse trip only (₹29)</t>
  </si>
  <si>
    <t>Reverse trip + share of other costs set on Inputs tab (30%)</t>
  </si>
  <si>
    <t>Reverse trip + all other costs (as the other model counts it)</t>
  </si>
  <si>
    <t>Payback month, by how the RTO saving is counted</t>
  </si>
  <si>
    <t>Year by year, with the share chosen in section 9</t>
  </si>
  <si>
    <t>RTO cost saved</t>
  </si>
  <si>
    <t>Net profit — ₹35 (profit only)</t>
  </si>
  <si>
    <t>Net profit — ₹40 (profit only)</t>
  </si>
  <si>
    <t>Net profit — ₹45 (profit only)</t>
  </si>
  <si>
    <t>Net incl. RTO saving — ₹35</t>
  </si>
  <si>
    <t>Net incl. RTO saving — ₹40</t>
  </si>
  <si>
    <t>Net incl. RTO saving — ₹45</t>
  </si>
  <si>
    <t>Other model's net profit — ₹35 base (India Rollout tab)</t>
  </si>
  <si>
    <t>Other model's net profit — ₹45 high (India Rollout tab)</t>
  </si>
  <si>
    <t>Other model's payback month — ₹35 base (col C), ₹45 high (col D)</t>
  </si>
  <si>
    <t>Why payback is month 1 here but month 5 in the other model: mainly the cost of parcels that do NOT sell. The other model charges every unsold parcel 7 days of shelf cost (₹15.93); this sheet charges the hub rent once (₹2.28), the method that reconciles to the rent actually paid (section 5). At 5–10% sell-through most parcels are unsold, so that one difference swings month-1 results. To see the other model's shelf-cost method here, set C22 to 2 — everything on this tab updates.</t>
  </si>
  <si>
    <t>Cost of unsold parcels, spread over the parcels that do sell (₹ per parcel sold)</t>
  </si>
  <si>
    <t>Month 1</t>
  </si>
  <si>
    <t>Month 12</t>
  </si>
  <si>
    <t>Month 36 onward</t>
  </si>
  <si>
    <t>Unsold parcels carried for every parcel sold</t>
  </si>
  <si>
    <t>Unsold-parcel rent loaded onto each sold parcel</t>
  </si>
  <si>
    <t>Effective profit per sold parcel — ₹35 case</t>
  </si>
  <si>
    <t>Effective profit per sold parcel — ₹40 case</t>
  </si>
  <si>
    <t>Effective profit per sold parcel — ₹45 case</t>
  </si>
  <si>
    <t>Effective gain per sold parcel incl. RTO cost avoided — ₹35 case</t>
  </si>
  <si>
    <t>Effective gain per sold parcel incl. RTO cost avoided — ₹40 case</t>
  </si>
  <si>
    <t>Effective gain per sold parcel incl. RTO cost avoided — ₹45 case</t>
  </si>
  <si>
    <t>This is already inside every monthly figure above: each parcel routed carries rent whether or not it sells, so the monthly profit is the same as sold parcels × the effective profit shown here, minus app upkeep. It is shown per sold parcel to explain why early months are weak: at 5% sell-through about 19 unsold parcels sit behind every sale.</t>
  </si>
  <si>
    <t>Je.  Results by year — all 10 years (120 months)</t>
  </si>
  <si>
    <t>Year</t>
  </si>
  <si>
    <t>10-year total</t>
  </si>
  <si>
    <t>Parcels resold (= RTO parcels saved)</t>
  </si>
  <si>
    <t>Net profit — ₹35 (profit only; year 1 after the build)</t>
  </si>
  <si>
    <t>Net profit — ₹40 (profit only; year 1 after the build)</t>
  </si>
  <si>
    <t>Net profit — ₹45 (profit only; year 1 after the build)</t>
  </si>
  <si>
    <t>Check (must be zero): 10-year totals vs cumulative at month 120, ₹35 / ₹40 / ₹45 profit only</t>
  </si>
  <si>
    <t>K.  Month by month to month 120</t>
  </si>
  <si>
    <t>Cum. parcels sold</t>
  </si>
  <si>
    <t>Op. profit — ₹35</t>
  </si>
  <si>
    <t>Op. profit — ₹40</t>
  </si>
  <si>
    <t>Op. profit — ₹45</t>
  </si>
  <si>
    <t>Cum. profit — ₹35</t>
  </si>
  <si>
    <t>Cum. profit — ₹40</t>
  </si>
  <si>
    <t>Cum. profit — ₹45</t>
  </si>
  <si>
    <t>Cum. incl. RTO saving — ₹35</t>
  </si>
  <si>
    <t>Cum. incl. RTO saving — ₹40</t>
  </si>
  <si>
    <t>Cum. incl. RTO saving — ₹45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</si>
</sst>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#,##0;\-#,##0;\–"/>
    <numFmt numFmtId="165" formatCode="0.0%;\-0.0%;\–"/>
    <numFmt numFmtId="166" formatCode="\₹#,##0.0;&quot;-₹&quot;#,##0.0;\–"/>
    <numFmt numFmtId="167" formatCode="\₹#,##0;&quot;-₹&quot;#,##0;\–"/>
    <numFmt numFmtId="168" formatCode="\₹#,##0.0&quot; Cr&quot;;&quot;-₹&quot;#,##0.0&quot; Cr&quot;;\–"/>
    <numFmt numFmtId="169" formatCode="\₹#,##0.00;&quot;-₹&quot;#,##0.00;\–"/>
    <numFmt numFmtId="170" formatCode="#,##0.0;\-#,##0.0;\–"/>
    <numFmt numFmtId="171" formatCode="#,##0.0&quot; lakh&quot;"/>
    <numFmt numFmtId="172" formatCode="0&quot; min&quot;"/>
    <numFmt numFmtId="173" formatCode="0.0\×"/>
    <numFmt numFmtId="174" formatCode="0.0%"/>
    <numFmt numFmtId="175" formatCode="0.0"/>
  </numFmts>
  <fonts count="16">
    <font>
      <sz val="11.0"/>
      <color theme="1"/>
      <name val="Calibri"/>
      <scheme val="minor"/>
    </font>
    <font>
      <b/>
      <sz val="16.0"/>
      <color rgb="FF1F3864"/>
      <name val="Arial"/>
    </font>
    <font/>
    <font>
      <sz val="11.0"/>
      <color theme="1"/>
      <name val="Calibri"/>
    </font>
    <font>
      <b/>
      <sz val="11.0"/>
      <color rgb="FFFFFFFF"/>
      <name val="Arial"/>
    </font>
    <font>
      <b/>
      <sz val="10.0"/>
      <color rgb="FF1F3864"/>
      <name val="Arial"/>
    </font>
    <font>
      <b/>
      <sz val="12.0"/>
      <color rgb="FFFFFFFF"/>
      <name val="Arial"/>
    </font>
    <font>
      <sz val="10.0"/>
      <color theme="1"/>
      <name val="Arial"/>
    </font>
    <font>
      <sz val="9.0"/>
      <color rgb="FF595959"/>
      <name val="Arial"/>
    </font>
    <font>
      <b/>
      <sz val="10.0"/>
      <color theme="1"/>
      <name val="Arial"/>
    </font>
    <font>
      <b/>
      <sz val="10.0"/>
      <color rgb="FF595959"/>
      <name val="Arial"/>
    </font>
    <font>
      <sz val="10.0"/>
      <color rgb="FF000000"/>
      <name val="Arial"/>
    </font>
    <font>
      <b/>
      <sz val="11.0"/>
      <color rgb="FF006100"/>
      <name val="Arial"/>
    </font>
    <font>
      <b/>
      <sz val="10.0"/>
      <color rgb="FF000000"/>
      <name val="Arial"/>
    </font>
    <font>
      <i/>
      <sz val="9.0"/>
      <color theme="1"/>
      <name val="Arial"/>
    </font>
    <font>
      <sz val="10.0"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EDF2FA"/>
        <bgColor rgb="FFEDF2F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/>
      <top/>
    </border>
    <border>
      <top/>
    </border>
    <border>
      <right/>
      <top/>
    </border>
    <border>
      <right/>
      <top/>
      <bottom/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bottom" wrapText="0"/>
    </xf>
    <xf borderId="2" fillId="0" fontId="2" numFmtId="0" xfId="0" applyBorder="1" applyFont="1"/>
    <xf borderId="0" fillId="0" fontId="3" numFmtId="0" xfId="0" applyAlignment="1" applyFont="1">
      <alignment shrinkToFit="0" vertical="bottom" wrapText="0"/>
    </xf>
    <xf borderId="3" fillId="0" fontId="2" numFmtId="0" xfId="0" applyBorder="1" applyFont="1"/>
    <xf borderId="4" fillId="2" fontId="4" numFmtId="0" xfId="0" applyAlignment="1" applyBorder="1" applyFill="1" applyFont="1">
      <alignment horizontal="center" shrinkToFit="0" vertical="bottom" wrapText="0"/>
    </xf>
    <xf borderId="5" fillId="3" fontId="5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shrinkToFit="0" vertical="bottom" wrapText="0"/>
    </xf>
    <xf borderId="6" fillId="0" fontId="2" numFmtId="0" xfId="0" applyBorder="1" applyFont="1"/>
    <xf borderId="1" fillId="2" fontId="4" numFmtId="0" xfId="0" applyAlignment="1" applyBorder="1" applyFill="1" applyFont="1">
      <alignment horizontal="center" shrinkToFit="0" vertical="bottom" wrapText="0"/>
    </xf>
    <xf borderId="5" fillId="0" fontId="7" numFmtId="0" xfId="0" applyAlignment="1" applyBorder="1" applyFont="1">
      <alignment horizontal="left" shrinkToFit="0" vertical="center" wrapText="1"/>
    </xf>
    <xf borderId="5" fillId="3" fontId="5" numFmtId="0" xfId="0" applyAlignment="1" applyBorder="1" applyFill="1" applyFont="1">
      <alignment horizontal="left" shrinkToFit="0" vertical="center" wrapText="1"/>
    </xf>
    <xf borderId="5" fillId="0" fontId="7" numFmtId="164" xfId="0" applyAlignment="1" applyBorder="1" applyFont="1" applyNumberFormat="1">
      <alignment horizontal="right" shrinkToFit="0" vertical="center" wrapText="0"/>
    </xf>
    <xf borderId="5" fillId="0" fontId="7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left" shrinkToFit="0" vertical="center" wrapText="1"/>
    </xf>
    <xf borderId="5" fillId="0" fontId="7" numFmtId="165" xfId="0" applyAlignment="1" applyBorder="1" applyFont="1" applyNumberFormat="1">
      <alignment horizontal="right" shrinkToFit="0" vertical="center" wrapText="0"/>
    </xf>
    <xf borderId="5" fillId="0" fontId="9" numFmtId="166" xfId="0" applyAlignment="1" applyBorder="1" applyFont="1" applyNumberFormat="1">
      <alignment horizontal="right" shrinkToFit="0" vertical="center" wrapText="0"/>
    </xf>
    <xf borderId="5" fillId="0" fontId="7" numFmtId="167" xfId="0" applyAlignment="1" applyBorder="1" applyFont="1" applyNumberFormat="1">
      <alignment horizontal="right" shrinkToFit="0" vertical="center" wrapText="0"/>
    </xf>
    <xf borderId="5" fillId="0" fontId="3" numFmtId="0" xfId="0" applyAlignment="1" applyBorder="1" applyFont="1">
      <alignment shrinkToFit="0" vertical="bottom" wrapText="0"/>
    </xf>
    <xf borderId="7" fillId="0" fontId="7" numFmtId="0" xfId="0" applyAlignment="1" applyBorder="1" applyFont="1">
      <alignment horizontal="left" shrinkToFit="0" vertical="center" wrapText="1"/>
    </xf>
    <xf borderId="7" fillId="0" fontId="7" numFmtId="9" xfId="0" applyAlignment="1" applyBorder="1" applyFont="1" applyNumberFormat="1">
      <alignment horizontal="right" shrinkToFit="0" vertical="center" wrapText="0"/>
    </xf>
    <xf borderId="7" fillId="0" fontId="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shrinkToFit="0" vertical="bottom" wrapText="0"/>
    </xf>
    <xf borderId="5" fillId="4" fontId="9" numFmtId="0" xfId="0" applyAlignment="1" applyBorder="1" applyFill="1" applyFont="1">
      <alignment horizontal="left" shrinkToFit="0" vertical="center" wrapText="1"/>
    </xf>
    <xf borderId="5" fillId="5" fontId="9" numFmtId="168" xfId="0" applyAlignment="1" applyBorder="1" applyFill="1" applyFont="1" applyNumberFormat="1">
      <alignment horizontal="right" shrinkToFit="0" vertical="center" wrapText="0"/>
    </xf>
    <xf borderId="5" fillId="4" fontId="9" numFmtId="167" xfId="0" applyAlignment="1" applyBorder="1" applyFill="1" applyFont="1" applyNumberFormat="1">
      <alignment horizontal="right" shrinkToFit="0" vertical="center" wrapText="0"/>
    </xf>
    <xf borderId="5" fillId="4" fontId="9" numFmtId="0" xfId="0" applyAlignment="1" applyBorder="1" applyFill="1" applyFont="1">
      <alignment shrinkToFit="0" vertical="bottom" wrapText="0"/>
    </xf>
    <xf borderId="5" fillId="4" fontId="10" numFmtId="0" xfId="0" applyAlignment="1" applyBorder="1" applyFill="1" applyFont="1">
      <alignment horizontal="left" shrinkToFit="0" vertical="center" wrapText="1"/>
    </xf>
    <xf borderId="5" fillId="0" fontId="11" numFmtId="167" xfId="0" applyAlignment="1" applyBorder="1" applyFont="1" applyNumberFormat="1">
      <alignment horizontal="right" shrinkToFit="0" vertical="center" wrapText="0"/>
    </xf>
    <xf borderId="5" fillId="0" fontId="7" numFmtId="166" xfId="0" applyAlignment="1" applyBorder="1" applyFont="1" applyNumberFormat="1">
      <alignment horizontal="right" shrinkToFit="0" vertical="center" wrapText="0"/>
    </xf>
    <xf borderId="5" fillId="0" fontId="11" numFmtId="9" xfId="0" applyAlignment="1" applyBorder="1" applyFont="1" applyNumberFormat="1">
      <alignment horizontal="right" shrinkToFit="0" vertical="center" wrapText="0"/>
    </xf>
    <xf borderId="5" fillId="0" fontId="7" numFmtId="10" xfId="0" applyAlignment="1" applyBorder="1" applyFont="1" applyNumberFormat="1">
      <alignment horizontal="right" shrinkToFit="0" vertical="center" wrapText="0"/>
    </xf>
    <xf borderId="5" fillId="0" fontId="7" numFmtId="169" xfId="0" applyAlignment="1" applyBorder="1" applyFont="1" applyNumberFormat="1">
      <alignment horizontal="right" shrinkToFit="0" vertical="center" wrapText="0"/>
    </xf>
    <xf borderId="5" fillId="0" fontId="7" numFmtId="9" xfId="0" applyAlignment="1" applyBorder="1" applyFont="1" applyNumberFormat="1">
      <alignment horizontal="right" shrinkToFit="0" vertical="center" wrapText="0"/>
    </xf>
    <xf borderId="5" fillId="0" fontId="7" numFmtId="170" xfId="0" applyAlignment="1" applyBorder="1" applyFont="1" applyNumberFormat="1">
      <alignment horizontal="right" shrinkToFit="0" vertical="center" wrapText="0"/>
    </xf>
    <xf borderId="5" fillId="0" fontId="11" numFmtId="165" xfId="0" applyAlignment="1" applyBorder="1" applyFont="1" applyNumberFormat="1">
      <alignment horizontal="right" shrinkToFit="0" vertical="center" wrapText="0"/>
    </xf>
    <xf borderId="5" fillId="0" fontId="11" numFmtId="164" xfId="0" applyAlignment="1" applyBorder="1" applyFont="1" applyNumberFormat="1">
      <alignment horizontal="right" shrinkToFit="0" vertical="center" wrapText="0"/>
    </xf>
    <xf borderId="8" fillId="2" fontId="4" numFmtId="0" xfId="0" applyAlignment="1" applyBorder="1" applyFill="1" applyFont="1">
      <alignment shrinkToFit="0" vertical="bottom" wrapText="0"/>
    </xf>
    <xf borderId="8" fillId="2" fontId="3" numFmtId="0" xfId="0" applyAlignment="1" applyBorder="1" applyFill="1" applyFont="1">
      <alignment shrinkToFit="0" vertical="bottom" wrapText="0"/>
    </xf>
    <xf borderId="5" fillId="4" fontId="9" numFmtId="166" xfId="0" applyAlignment="1" applyBorder="1" applyFill="1" applyFont="1" applyNumberFormat="1">
      <alignment horizontal="right" shrinkToFit="0" vertical="center" wrapText="0"/>
    </xf>
    <xf borderId="5" fillId="5" fontId="9" numFmtId="164" xfId="0" applyAlignment="1" applyBorder="1" applyFill="1" applyFont="1" applyNumberFormat="1">
      <alignment horizontal="right" shrinkToFit="0" vertical="center" wrapText="0"/>
    </xf>
    <xf borderId="5" fillId="0" fontId="9" numFmtId="0" xfId="0" applyAlignment="1" applyBorder="1" applyFont="1">
      <alignment horizontal="left" shrinkToFit="0" vertical="center" wrapText="1"/>
    </xf>
    <xf borderId="5" fillId="0" fontId="9" numFmtId="0" xfId="0" applyAlignment="1" applyBorder="1" applyFont="1">
      <alignment horizontal="right" shrinkToFit="0" vertical="center" wrapText="0"/>
    </xf>
    <xf borderId="5" fillId="5" fontId="12" numFmtId="166" xfId="0" applyAlignment="1" applyBorder="1" applyFill="1" applyFont="1" applyNumberFormat="1">
      <alignment horizontal="right" shrinkToFit="0" vertical="center" wrapText="0"/>
    </xf>
    <xf borderId="5" fillId="0" fontId="5" numFmtId="0" xfId="0" applyAlignment="1" applyBorder="1" applyFont="1">
      <alignment horizontal="center" shrinkToFit="0" vertical="center" wrapText="1"/>
    </xf>
    <xf borderId="5" fillId="0" fontId="9" numFmtId="171" xfId="0" applyAlignment="1" applyBorder="1" applyFont="1" applyNumberFormat="1">
      <alignment horizontal="right" shrinkToFit="0" vertical="center" wrapText="0"/>
    </xf>
    <xf borderId="5" fillId="0" fontId="7" numFmtId="172" xfId="0" applyAlignment="1" applyBorder="1" applyFont="1" applyNumberFormat="1">
      <alignment horizontal="right" shrinkToFit="0" vertical="center" wrapText="0"/>
    </xf>
    <xf borderId="5" fillId="0" fontId="9" numFmtId="165" xfId="0" applyAlignment="1" applyBorder="1" applyFont="1" applyNumberFormat="1">
      <alignment horizontal="right" shrinkToFit="0" vertical="center" wrapText="0"/>
    </xf>
    <xf borderId="5" fillId="0" fontId="9" numFmtId="164" xfId="0" applyAlignment="1" applyBorder="1" applyFont="1" applyNumberFormat="1">
      <alignment horizontal="right" shrinkToFit="0" vertical="center" wrapText="0"/>
    </xf>
    <xf borderId="4" fillId="2" fontId="4" numFmtId="0" xfId="0" applyAlignment="1" applyBorder="1" applyFill="1" applyFont="1">
      <alignment horizontal="center" readingOrder="0" shrinkToFit="0" vertical="bottom" wrapText="0"/>
    </xf>
    <xf borderId="1" fillId="0" fontId="7" numFmtId="0" xfId="0" applyAlignment="1" applyBorder="1" applyFont="1">
      <alignment horizontal="left" shrinkToFit="0" vertical="center" wrapText="1"/>
    </xf>
    <xf borderId="5" fillId="0" fontId="9" numFmtId="168" xfId="0" applyAlignment="1" applyBorder="1" applyFont="1" applyNumberFormat="1">
      <alignment horizontal="right" shrinkToFit="0" vertical="center" wrapText="0"/>
    </xf>
    <xf borderId="7" fillId="0" fontId="9" numFmtId="0" xfId="0" applyAlignment="1" applyBorder="1" applyFont="1">
      <alignment horizontal="left" shrinkToFit="0" vertical="center" wrapText="1"/>
    </xf>
    <xf borderId="5" fillId="2" fontId="4" numFmtId="0" xfId="0" applyAlignment="1" applyBorder="1" applyFill="1" applyFont="1">
      <alignment shrinkToFit="0" vertical="bottom" wrapText="0"/>
    </xf>
    <xf borderId="9" fillId="2" fontId="4" numFmtId="0" xfId="0" applyAlignment="1" applyBorder="1" applyFill="1" applyFont="1">
      <alignment horizontal="center" readingOrder="0" shrinkToFit="0" vertical="bottom" wrapText="0"/>
    </xf>
    <xf borderId="10" fillId="0" fontId="2" numFmtId="0" xfId="0" applyBorder="1" applyFont="1"/>
    <xf borderId="5" fillId="2" fontId="3" numFmtId="0" xfId="0" applyAlignment="1" applyBorder="1" applyFill="1" applyFont="1">
      <alignment shrinkToFit="0" vertical="bottom" wrapText="0"/>
    </xf>
    <xf borderId="5" fillId="3" fontId="13" numFmtId="0" xfId="0" applyAlignment="1" applyBorder="1" applyFill="1" applyFont="1">
      <alignment horizontal="center" shrinkToFit="0" vertical="center" wrapText="1"/>
    </xf>
    <xf borderId="5" fillId="0" fontId="11" numFmtId="0" xfId="0" applyAlignment="1" applyBorder="1" applyFont="1">
      <alignment horizontal="left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5" fillId="0" fontId="11" numFmtId="0" xfId="0" applyAlignment="1" applyBorder="1" applyFont="1">
      <alignment horizontal="center" shrinkToFit="0" vertical="center" wrapText="1"/>
    </xf>
    <xf borderId="5" fillId="0" fontId="13" numFmtId="0" xfId="0" applyAlignment="1" applyBorder="1" applyFont="1">
      <alignment horizontal="left" shrinkToFit="0" vertical="center" wrapText="1"/>
    </xf>
    <xf borderId="5" fillId="0" fontId="13" numFmtId="169" xfId="0" applyAlignment="1" applyBorder="1" applyFont="1" applyNumberFormat="1">
      <alignment horizontal="right" shrinkToFit="0" vertical="center" wrapText="0"/>
    </xf>
    <xf borderId="1" fillId="0" fontId="9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5" fillId="0" fontId="13" numFmtId="164" xfId="0" applyAlignment="1" applyBorder="1" applyFont="1" applyNumberFormat="1">
      <alignment horizontal="right" shrinkToFit="0" vertical="center" wrapText="0"/>
    </xf>
    <xf borderId="1" fillId="0" fontId="9" numFmtId="165" xfId="0" applyAlignment="1" applyBorder="1" applyFont="1" applyNumberFormat="1">
      <alignment horizontal="left" shrinkToFit="0" vertical="center" wrapText="1"/>
    </xf>
    <xf borderId="1" fillId="0" fontId="9" numFmtId="168" xfId="0" applyAlignment="1" applyBorder="1" applyFont="1" applyNumberFormat="1">
      <alignment horizontal="left" shrinkToFit="0" vertical="center" wrapText="1"/>
    </xf>
    <xf borderId="5" fillId="4" fontId="9" numFmtId="169" xfId="0" applyAlignment="1" applyBorder="1" applyFill="1" applyFont="1" applyNumberFormat="1">
      <alignment horizontal="right" shrinkToFit="0" vertical="center" wrapText="0"/>
    </xf>
    <xf borderId="5" fillId="5" fontId="12" numFmtId="169" xfId="0" applyAlignment="1" applyBorder="1" applyFill="1" applyFont="1" applyNumberFormat="1">
      <alignment horizontal="right" shrinkToFit="0" vertical="center" wrapText="0"/>
    </xf>
    <xf borderId="5" fillId="0" fontId="8" numFmtId="165" xfId="0" applyAlignment="1" applyBorder="1" applyFont="1" applyNumberFormat="1">
      <alignment horizontal="right" shrinkToFit="0" vertical="center" wrapText="0"/>
    </xf>
    <xf borderId="5" fillId="3" fontId="9" numFmtId="0" xfId="0" applyAlignment="1" applyBorder="1" applyFill="1" applyFont="1">
      <alignment horizontal="center" shrinkToFit="0" vertical="center" wrapText="1"/>
    </xf>
    <xf borderId="5" fillId="0" fontId="7" numFmtId="165" xfId="0" applyAlignment="1" applyBorder="1" applyFont="1" applyNumberFormat="1">
      <alignment horizontal="center" shrinkToFit="0" vertical="center" wrapText="1"/>
    </xf>
    <xf borderId="5" fillId="0" fontId="7" numFmtId="0" xfId="0" applyAlignment="1" applyBorder="1" applyFont="1">
      <alignment horizontal="right" shrinkToFit="0" vertical="center" wrapText="0"/>
    </xf>
    <xf borderId="5" fillId="5" fontId="9" numFmtId="165" xfId="0" applyAlignment="1" applyBorder="1" applyFill="1" applyFont="1" applyNumberFormat="1">
      <alignment horizontal="right" shrinkToFit="0" vertical="center" wrapText="0"/>
    </xf>
    <xf borderId="9" fillId="2" fontId="4" numFmtId="0" xfId="0" applyAlignment="1" applyBorder="1" applyFill="1" applyFont="1">
      <alignment readingOrder="0" shrinkToFit="0" vertical="bottom" wrapText="0"/>
    </xf>
    <xf borderId="11" fillId="0" fontId="2" numFmtId="0" xfId="0" applyBorder="1" applyFont="1"/>
    <xf borderId="5" fillId="6" fontId="9" numFmtId="173" xfId="0" applyAlignment="1" applyBorder="1" applyFill="1" applyFont="1" applyNumberFormat="1">
      <alignment horizontal="right" shrinkToFit="0" vertical="center" wrapText="0"/>
    </xf>
    <xf borderId="5" fillId="0" fontId="7" numFmtId="171" xfId="0" applyAlignment="1" applyBorder="1" applyFont="1" applyNumberFormat="1">
      <alignment horizontal="right" shrinkToFit="0" vertical="center" wrapText="0"/>
    </xf>
    <xf borderId="5" fillId="0" fontId="9" numFmtId="167" xfId="0" applyAlignment="1" applyBorder="1" applyFont="1" applyNumberFormat="1">
      <alignment horizontal="right" shrinkToFit="0" vertical="center" wrapText="0"/>
    </xf>
    <xf borderId="0" fillId="0" fontId="14" numFmtId="0" xfId="0" applyAlignment="1" applyFont="1">
      <alignment horizontal="left" shrinkToFit="0" vertical="center" wrapText="1"/>
    </xf>
    <xf borderId="5" fillId="0" fontId="7" numFmtId="164" xfId="0" applyAlignment="1" applyBorder="1" applyFont="1" applyNumberFormat="1">
      <alignment horizontal="center" shrinkToFit="0" vertical="center" wrapText="1"/>
    </xf>
    <xf borderId="5" fillId="0" fontId="7" numFmtId="168" xfId="0" applyAlignment="1" applyBorder="1" applyFont="1" applyNumberFormat="1">
      <alignment horizontal="right" shrinkToFit="0" vertical="center" wrapText="0"/>
    </xf>
    <xf borderId="5" fillId="0" fontId="7" numFmtId="17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bottom" wrapText="0"/>
    </xf>
    <xf borderId="5" fillId="0" fontId="7" numFmtId="0" xfId="0" applyAlignment="1" applyBorder="1" applyFont="1">
      <alignment shrinkToFit="0" vertical="center" wrapText="1"/>
    </xf>
    <xf borderId="5" fillId="0" fontId="9" numFmtId="0" xfId="0" applyAlignment="1" applyBorder="1" applyFont="1">
      <alignment shrinkToFit="0" vertical="center" wrapText="1"/>
    </xf>
    <xf borderId="5" fillId="7" fontId="15" numFmtId="165" xfId="0" applyAlignment="1" applyBorder="1" applyFill="1" applyFont="1" applyNumberFormat="1">
      <alignment horizontal="right" shrinkToFit="0" vertical="center" wrapText="0"/>
    </xf>
    <xf borderId="5" fillId="5" fontId="9" numFmtId="169" xfId="0" applyAlignment="1" applyBorder="1" applyFill="1" applyFont="1" applyNumberFormat="1">
      <alignment horizontal="right" shrinkToFit="0" vertical="center" wrapText="0"/>
    </xf>
    <xf borderId="0" fillId="0" fontId="8" numFmtId="0" xfId="0" applyAlignment="1" applyFont="1">
      <alignment shrinkToFit="0" vertical="top" wrapText="1"/>
    </xf>
    <xf borderId="5" fillId="0" fontId="7" numFmtId="175" xfId="0" applyAlignment="1" applyBorder="1" applyFont="1" applyNumberFormat="1">
      <alignment horizontal="right" shrinkToFit="0" vertical="center" wrapText="0"/>
    </xf>
    <xf borderId="5" fillId="0" fontId="9" numFmtId="169" xfId="0" applyAlignment="1" applyBorder="1" applyFont="1" applyNumberFormat="1">
      <alignment horizontal="right" shrinkToFit="0" vertical="center" wrapText="0"/>
    </xf>
    <xf borderId="8" fillId="2" fontId="4" numFmtId="0" xfId="0" applyAlignment="1" applyBorder="1" applyFill="1" applyFont="1">
      <alignment readingOrder="0" shrinkToFit="0" vertical="bottom" wrapText="0"/>
    </xf>
    <xf borderId="12" fillId="0" fontId="2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E2EFDA"/>
          <bgColor rgb="FFE2EFD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Cumulative profit after build cost (₹ Cr) — profit only</a:t>
            </a:r>
          </a:p>
        </c:rich>
      </c:tx>
      <c:overlay val="0"/>
    </c:title>
    <c:plotArea>
      <c:layout/>
      <c:lineChart>
        <c:ser>
          <c:idx val="0"/>
          <c:order val="0"/>
          <c:tx>
            <c:v>Cum. profit — ₹35</c:v>
          </c:tx>
          <c:spPr>
            <a:ln cmpd="sng" w="19050">
              <a:solidFill>
                <a:srgbClr val="1F386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Profitability!$A$224:$A$343</c:f>
            </c:strRef>
          </c:cat>
          <c:val>
            <c:numRef>
              <c:f>Profitability!$G$224:$G$343</c:f>
              <c:numCache/>
            </c:numRef>
          </c:val>
          <c:smooth val="0"/>
        </c:ser>
        <c:ser>
          <c:idx val="1"/>
          <c:order val="1"/>
          <c:tx>
            <c:v>Cum. profit — ₹40</c:v>
          </c:tx>
          <c:spPr>
            <a:ln cmpd="sng" w="19050">
              <a:solidFill>
                <a:srgbClr val="BF8F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Profitability!$A$224:$A$343</c:f>
            </c:strRef>
          </c:cat>
          <c:val>
            <c:numRef>
              <c:f>Profitability!$H$224:$H$343</c:f>
              <c:numCache/>
            </c:numRef>
          </c:val>
          <c:smooth val="0"/>
        </c:ser>
        <c:ser>
          <c:idx val="2"/>
          <c:order val="2"/>
          <c:tx>
            <c:v>Cum. profit — ₹45</c:v>
          </c:tx>
          <c:spPr>
            <a:ln cmpd="sng" w="19050">
              <a:solidFill>
                <a:srgbClr val="C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Profitability!$A$224:$A$343</c:f>
            </c:strRef>
          </c:cat>
          <c:val>
            <c:numRef>
              <c:f>Profitability!$I$224:$I$343</c:f>
              <c:numCache/>
            </c:numRef>
          </c:val>
          <c:smooth val="0"/>
        </c:ser>
        <c:axId val="718780508"/>
        <c:axId val="1841145272"/>
      </c:lineChart>
      <c:catAx>
        <c:axId val="7187805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41145272"/>
      </c:catAx>
      <c:valAx>
        <c:axId val="18411452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₹ Cr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18780508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Cumulative incl. RTO cost saved (₹ Cr)</a:t>
            </a:r>
          </a:p>
        </c:rich>
      </c:tx>
      <c:overlay val="0"/>
    </c:title>
    <c:plotArea>
      <c:layout/>
      <c:lineChart>
        <c:ser>
          <c:idx val="0"/>
          <c:order val="0"/>
          <c:tx>
            <c:v>Cum. incl. RTO saving — ₹35</c:v>
          </c:tx>
          <c:spPr>
            <a:ln cmpd="sng" w="19050">
              <a:solidFill>
                <a:srgbClr val="1F386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Profitability!$A$224:$A$343</c:f>
            </c:strRef>
          </c:cat>
          <c:val>
            <c:numRef>
              <c:f>Profitability!$J$224:$J$343</c:f>
              <c:numCache/>
            </c:numRef>
          </c:val>
          <c:smooth val="0"/>
        </c:ser>
        <c:ser>
          <c:idx val="1"/>
          <c:order val="1"/>
          <c:tx>
            <c:v>Cum. incl. RTO saving — ₹40</c:v>
          </c:tx>
          <c:spPr>
            <a:ln cmpd="sng" w="19050">
              <a:solidFill>
                <a:srgbClr val="BF8F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Profitability!$A$224:$A$343</c:f>
            </c:strRef>
          </c:cat>
          <c:val>
            <c:numRef>
              <c:f>Profitability!$K$224:$K$343</c:f>
              <c:numCache/>
            </c:numRef>
          </c:val>
          <c:smooth val="0"/>
        </c:ser>
        <c:ser>
          <c:idx val="2"/>
          <c:order val="2"/>
          <c:tx>
            <c:v>Cum. incl. RTO saving — ₹45</c:v>
          </c:tx>
          <c:spPr>
            <a:ln cmpd="sng" w="19050">
              <a:solidFill>
                <a:srgbClr val="C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Profitability!$A$224:$A$343</c:f>
            </c:strRef>
          </c:cat>
          <c:val>
            <c:numRef>
              <c:f>Profitability!$L$224:$L$343</c:f>
              <c:numCache/>
            </c:numRef>
          </c:val>
          <c:smooth val="0"/>
        </c:ser>
        <c:axId val="2013307511"/>
        <c:axId val="1471018458"/>
      </c:lineChart>
      <c:catAx>
        <c:axId val="2013307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71018458"/>
      </c:catAx>
      <c:valAx>
        <c:axId val="14710184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₹ Cr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13307511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134</xdr:row>
      <xdr:rowOff>0</xdr:rowOff>
    </xdr:from>
    <xdr:ext cx="5286375" cy="3162300"/>
    <xdr:graphicFrame>
      <xdr:nvGraphicFramePr>
        <xdr:cNvPr id="73424234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134</xdr:row>
      <xdr:rowOff>0</xdr:rowOff>
    </xdr:from>
    <xdr:ext cx="5305425" cy="3162300"/>
    <xdr:graphicFrame>
      <xdr:nvGraphicFramePr>
        <xdr:cNvPr id="78204204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0</xdr:row>
      <xdr:rowOff>219075</xdr:rowOff>
    </xdr:from>
    <xdr:ext cx="3076575" cy="2009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 fitToPage="1"/>
  </sheetPr>
  <sheetViews>
    <sheetView showGridLines="0" workbookViewId="0"/>
  </sheetViews>
  <sheetFormatPr customHeight="1" defaultColWidth="14.43" defaultRowHeight="15.0"/>
  <cols>
    <col customWidth="1" min="1" max="1" width="68.86"/>
    <col customWidth="1" min="2" max="2" width="28.0"/>
    <col customWidth="1" min="3" max="3" width="17.57"/>
    <col customWidth="1" min="4" max="4" width="34.86"/>
    <col customWidth="1" min="5" max="5" width="9.71"/>
    <col customWidth="1" min="6" max="6" width="10.86"/>
  </cols>
  <sheetData>
    <row r="1" ht="19.5" customHeight="1">
      <c r="A1" s="3" t="s">
        <v>1</v>
      </c>
      <c r="B1" s="4"/>
      <c r="C1" s="4"/>
      <c r="D1" s="4"/>
      <c r="E1" s="4"/>
      <c r="F1" s="6"/>
    </row>
    <row r="2" ht="19.5" customHeight="1">
      <c r="A2" s="9" t="s">
        <v>5</v>
      </c>
      <c r="B2" s="4"/>
      <c r="C2" s="6"/>
      <c r="D2" s="11" t="s">
        <v>10</v>
      </c>
      <c r="E2" s="4"/>
      <c r="F2" s="6"/>
    </row>
    <row r="3" ht="15.0" customHeight="1">
      <c r="A3" s="13"/>
      <c r="B3" s="8" t="s">
        <v>13</v>
      </c>
      <c r="C3" s="8" t="s">
        <v>14</v>
      </c>
      <c r="D3" s="13"/>
      <c r="E3" s="8" t="s">
        <v>13</v>
      </c>
      <c r="F3" s="8" t="s">
        <v>14</v>
      </c>
    </row>
    <row r="4" ht="15.0" customHeight="1">
      <c r="A4" s="12" t="s">
        <v>17</v>
      </c>
      <c r="B4" s="18">
        <f>-Net_Today</f>
        <v>120</v>
      </c>
      <c r="C4" s="18">
        <f>-Net_Today</f>
        <v>120</v>
      </c>
      <c r="D4" s="12" t="s">
        <v>30</v>
      </c>
      <c r="E4" s="27">
        <f t="array" ref="E4">INDEX(Y_NetBase,1)</f>
        <v>410.9425084</v>
      </c>
      <c r="F4" s="27">
        <f t="array" ref="F4">INDEX(Y_NetHigh,1)</f>
        <v>376.6699861</v>
      </c>
    </row>
    <row r="5" ht="15.0" customHeight="1">
      <c r="A5" s="12" t="s">
        <v>66</v>
      </c>
      <c r="B5" s="18">
        <f>Save_Sold_Base</f>
        <v>127.7205772</v>
      </c>
      <c r="C5" s="18">
        <f>Save_Sold_High</f>
        <v>117.7205772</v>
      </c>
      <c r="D5" s="12" t="s">
        <v>81</v>
      </c>
      <c r="E5" s="27">
        <f t="array" ref="E5">INDEX(Y_NetBase,2)</f>
        <v>669.9023817</v>
      </c>
      <c r="F5" s="27">
        <f t="array" ref="F5">INDEX(Y_NetHigh,2)</f>
        <v>615.7878728</v>
      </c>
    </row>
    <row r="6" ht="15.0" customHeight="1">
      <c r="A6" s="12" t="s">
        <v>116</v>
      </c>
      <c r="B6" s="18">
        <f>Save_Unsold</f>
        <v>-2.276422764</v>
      </c>
      <c r="C6" s="18">
        <f>Save_Unsold</f>
        <v>-2.276422764</v>
      </c>
      <c r="D6" s="12" t="s">
        <v>128</v>
      </c>
      <c r="E6" s="27">
        <f t="array" ref="E6">INDEX(Y_NetBase,4)</f>
        <v>1750.747272</v>
      </c>
      <c r="F6" s="27">
        <f t="array" ref="F6">INDEX(Y_NetHigh,4)</f>
        <v>1608.245732</v>
      </c>
    </row>
    <row r="7" ht="15.0" customHeight="1">
      <c r="A7" s="12" t="s">
        <v>153</v>
      </c>
      <c r="B7" s="18">
        <f>ST_Target*Save_Sold_Base+(1-ST_Target)*Save_Unsold</f>
        <v>46.47245224</v>
      </c>
      <c r="C7" s="18">
        <f>ST_Target*Save_Sold_High+(1-ST_Target)*Save_Unsold</f>
        <v>42.72245224</v>
      </c>
      <c r="D7" s="12" t="s">
        <v>155</v>
      </c>
      <c r="E7" s="43">
        <f>Payback_Base</f>
        <v>1</v>
      </c>
      <c r="F7" s="43">
        <f>Payback_High</f>
        <v>1</v>
      </c>
    </row>
    <row r="8" ht="15.0" customHeight="1">
      <c r="A8" s="12" t="s">
        <v>157</v>
      </c>
      <c r="B8" s="45" t="str">
        <f>IF('Unit Economics'!D40&gt;0,"Another city",IF('Unit Economics'!D39&gt;0,"Nearby hub","Same hub only"))</f>
        <v>Another city</v>
      </c>
      <c r="C8" s="45" t="str">
        <f>IF('Unit Economics'!E40&gt;0,"Another city",IF(ROUND('Unit Economics'!E39,2)&gt;0,"Nearby hub","Same hub only"))</f>
        <v>Another city</v>
      </c>
      <c r="D8" s="12" t="s">
        <v>160</v>
      </c>
      <c r="E8" s="27">
        <f>OneTime/10^7</f>
        <v>1.02</v>
      </c>
      <c r="F8" s="27">
        <f>OneTime/10^7</f>
        <v>1.02</v>
      </c>
    </row>
    <row r="9" ht="15.0" customHeight="1">
      <c r="A9" s="20"/>
      <c r="B9" s="20"/>
      <c r="C9" s="20"/>
      <c r="D9" s="20"/>
      <c r="E9" s="20"/>
      <c r="F9" s="20"/>
    </row>
    <row r="10" ht="19.5" customHeight="1">
      <c r="A10" s="9" t="s">
        <v>167</v>
      </c>
      <c r="B10" s="4"/>
      <c r="C10" s="6"/>
      <c r="D10" s="20"/>
      <c r="E10" s="20"/>
      <c r="F10" s="20"/>
    </row>
    <row r="11" ht="15.0" customHeight="1">
      <c r="A11" s="13"/>
      <c r="B11" s="8" t="s">
        <v>170</v>
      </c>
      <c r="C11" s="8" t="s">
        <v>171</v>
      </c>
      <c r="D11" s="47"/>
      <c r="E11" s="47"/>
      <c r="F11" s="47"/>
    </row>
    <row r="12" ht="15.0" customHeight="1">
      <c r="A12" s="12" t="s">
        <v>174</v>
      </c>
      <c r="B12" s="48">
        <f t="array" ref="B12">INDEX(Y_Saved,1)</f>
        <v>342.7252232</v>
      </c>
      <c r="C12" s="48">
        <f t="array" ref="C12">INDEX(Y_Saved,2)</f>
        <v>541.1450893</v>
      </c>
      <c r="D12" s="20"/>
      <c r="E12" s="20"/>
      <c r="F12" s="20"/>
    </row>
    <row r="13" ht="15.0" customHeight="1">
      <c r="A13" s="12" t="s">
        <v>179</v>
      </c>
      <c r="B13" s="50">
        <f t="array" ref="B13">INDEX(Y_Share,1)</f>
        <v>0.1315088535</v>
      </c>
      <c r="C13" s="50">
        <f t="array" ref="C13">INDEX(Y_Share,2)</f>
        <v>0.2076455582</v>
      </c>
      <c r="D13" s="20"/>
      <c r="E13" s="20"/>
      <c r="F13" s="20"/>
    </row>
    <row r="14" ht="15.0" customHeight="1">
      <c r="A14" s="12" t="s">
        <v>189</v>
      </c>
      <c r="B14" s="51">
        <f>Routed_Day</f>
        <v>395357.1429</v>
      </c>
      <c r="C14" s="16" t="str">
        <f>IF(Elig_Day&gt;Cap_Day,"limited by shelf space","limited by eligible parcels")</f>
        <v>limited by shelf space</v>
      </c>
      <c r="D14" s="20"/>
      <c r="E14" s="20"/>
      <c r="F14" s="20"/>
    </row>
    <row r="15" ht="15.0" customHeight="1">
      <c r="A15" s="12" t="s">
        <v>195</v>
      </c>
      <c r="B15" s="54">
        <f>RTO_Cost_Year</f>
        <v>3127.32</v>
      </c>
      <c r="C15" s="20"/>
      <c r="D15" s="20"/>
      <c r="E15" s="20"/>
      <c r="F15" s="20"/>
    </row>
    <row r="16" ht="15.0" customHeight="1">
      <c r="A16" s="20"/>
      <c r="B16" s="20"/>
      <c r="C16" s="20"/>
      <c r="D16" s="20"/>
      <c r="E16" s="20"/>
      <c r="F16" s="20"/>
    </row>
    <row r="17" ht="19.5" customHeight="1">
      <c r="A17" s="56" t="s">
        <v>202</v>
      </c>
      <c r="B17" s="59"/>
      <c r="C17" s="59"/>
      <c r="D17" s="59"/>
      <c r="E17" s="59"/>
      <c r="F17" s="59"/>
    </row>
    <row r="18" ht="15.0" customHeight="1">
      <c r="A18" s="13" t="s">
        <v>3</v>
      </c>
      <c r="B18" s="62" t="s">
        <v>6</v>
      </c>
      <c r="C18" s="6"/>
      <c r="D18" s="8" t="s">
        <v>206</v>
      </c>
      <c r="E18" s="8"/>
      <c r="F18" s="8"/>
    </row>
    <row r="19" ht="15.0" customHeight="1">
      <c r="A19" s="12" t="s">
        <v>207</v>
      </c>
      <c r="B19" s="66" t="str">
        <f>TEXT(ST_Start,"0%")&amp;" → "&amp;TEXT(ST_Target,"0.0%")&amp;" over "&amp;Ramp&amp;" months"</f>
        <v>10% → 37.5% over 12 months</v>
      </c>
      <c r="C19" s="6"/>
      <c r="D19" s="67" t="s">
        <v>211</v>
      </c>
      <c r="E19" s="4"/>
      <c r="F19" s="6"/>
    </row>
    <row r="20" ht="15.0" customHeight="1">
      <c r="A20" s="12" t="s">
        <v>215</v>
      </c>
      <c r="B20" s="66" t="str">
        <f>"₹"&amp;Route_Base&amp;" base / ₹"&amp;Route_High&amp;" high"</f>
        <v>₹35 base / ₹45 high</v>
      </c>
      <c r="C20" s="6"/>
      <c r="D20" s="67" t="s">
        <v>219</v>
      </c>
      <c r="E20" s="4"/>
      <c r="F20" s="6"/>
    </row>
    <row r="21" ht="15.0" customHeight="1">
      <c r="A21" s="12" t="s">
        <v>221</v>
      </c>
      <c r="B21" s="66" t="str">
        <f>"₹"&amp;TEXT(AOV*Fee_Express,"0")&amp;" + ₹"&amp;TEXT(AOV*Fee_Seller,"0")</f>
        <v>₹15 + ₹30</v>
      </c>
      <c r="C21" s="6"/>
      <c r="D21" s="67" t="s">
        <v>3</v>
      </c>
      <c r="E21" s="4"/>
      <c r="F21" s="6"/>
    </row>
    <row r="22" ht="15.0" customHeight="1">
      <c r="A22" s="12" t="s">
        <v>227</v>
      </c>
      <c r="B22" s="69">
        <f>Eligible</f>
        <v>0.9</v>
      </c>
      <c r="C22" s="6"/>
      <c r="D22" s="67" t="s">
        <v>3</v>
      </c>
      <c r="E22" s="4"/>
      <c r="F22" s="6"/>
    </row>
    <row r="23" ht="15.0" customHeight="1">
      <c r="A23" s="12" t="s">
        <v>232</v>
      </c>
      <c r="B23" s="66" t="str">
        <f>"Shelf: "&amp;TEXT(Shelf,"0")&amp;" per hub per week"</f>
        <v>Shelf: 1025 per hub per week</v>
      </c>
      <c r="C23" s="6"/>
      <c r="D23" s="67" t="s">
        <v>236</v>
      </c>
      <c r="E23" s="4"/>
      <c r="F23" s="6"/>
    </row>
    <row r="24" ht="15.0" customHeight="1">
      <c r="A24" s="12" t="s">
        <v>237</v>
      </c>
      <c r="B24" s="70">
        <f>OneTime_Central/10^7</f>
        <v>1.02</v>
      </c>
      <c r="C24" s="6"/>
      <c r="D24" s="67" t="s">
        <v>239</v>
      </c>
      <c r="E24" s="4"/>
      <c r="F24" s="6"/>
    </row>
    <row r="25" ht="15.75" customHeight="1">
      <c r="A25" s="5"/>
      <c r="B25" s="5"/>
      <c r="C25" s="5"/>
      <c r="D25" s="5"/>
      <c r="E25" s="5"/>
      <c r="F25" s="5"/>
    </row>
    <row r="26" ht="15.75" customHeight="1">
      <c r="A26" s="5"/>
      <c r="B26" s="5"/>
      <c r="C26" s="5"/>
      <c r="D26" s="5"/>
      <c r="E26" s="5"/>
      <c r="F26" s="5"/>
    </row>
    <row r="27" ht="15.75" customHeight="1">
      <c r="A27" s="5"/>
      <c r="B27" s="5"/>
      <c r="C27" s="5"/>
      <c r="D27" s="5"/>
      <c r="E27" s="5"/>
      <c r="F27" s="5"/>
    </row>
    <row r="28" ht="15.75" customHeight="1">
      <c r="A28" s="5"/>
      <c r="B28" s="5"/>
      <c r="C28" s="5"/>
      <c r="D28" s="5"/>
      <c r="E28" s="5"/>
      <c r="F28" s="5"/>
    </row>
    <row r="29" ht="15.75" customHeight="1">
      <c r="A29" s="5"/>
      <c r="B29" s="5"/>
      <c r="C29" s="5"/>
      <c r="D29" s="5"/>
      <c r="E29" s="5"/>
      <c r="F29" s="5"/>
    </row>
    <row r="30" ht="15.75" customHeight="1">
      <c r="A30" s="5"/>
      <c r="B30" s="5"/>
      <c r="C30" s="5"/>
      <c r="D30" s="5"/>
      <c r="E30" s="5"/>
      <c r="F30" s="5"/>
    </row>
    <row r="31" ht="15.75" customHeight="1">
      <c r="A31" s="5"/>
      <c r="B31" s="5"/>
      <c r="C31" s="5"/>
      <c r="D31" s="5"/>
      <c r="E31" s="5"/>
      <c r="F31" s="5"/>
    </row>
    <row r="32" ht="15.75" customHeight="1">
      <c r="A32" s="5"/>
      <c r="B32" s="5"/>
      <c r="C32" s="5"/>
      <c r="D32" s="5"/>
      <c r="E32" s="5"/>
      <c r="F32" s="5"/>
    </row>
    <row r="33" ht="15.75" customHeight="1">
      <c r="A33" s="5"/>
      <c r="B33" s="5"/>
      <c r="C33" s="5"/>
      <c r="D33" s="5"/>
      <c r="E33" s="5"/>
      <c r="F33" s="5"/>
    </row>
    <row r="34" ht="15.75" customHeight="1">
      <c r="A34" s="5"/>
      <c r="B34" s="5"/>
      <c r="C34" s="5"/>
      <c r="D34" s="5"/>
      <c r="E34" s="5"/>
      <c r="F34" s="5"/>
    </row>
    <row r="35" ht="15.75" customHeight="1">
      <c r="A35" s="5"/>
      <c r="B35" s="5"/>
      <c r="C35" s="5"/>
      <c r="D35" s="5"/>
      <c r="E35" s="5"/>
      <c r="F35" s="5"/>
    </row>
    <row r="36" ht="15.75" customHeight="1">
      <c r="A36" s="5"/>
      <c r="B36" s="5"/>
      <c r="C36" s="5"/>
      <c r="D36" s="5"/>
      <c r="E36" s="5"/>
      <c r="F36" s="5"/>
    </row>
    <row r="37" ht="15.75" customHeight="1">
      <c r="A37" s="5"/>
      <c r="B37" s="5"/>
      <c r="C37" s="5"/>
      <c r="D37" s="5"/>
      <c r="E37" s="5"/>
      <c r="F37" s="5"/>
    </row>
    <row r="38" ht="15.75" customHeight="1">
      <c r="A38" s="5"/>
      <c r="B38" s="5"/>
      <c r="C38" s="5"/>
      <c r="D38" s="5"/>
      <c r="E38" s="5"/>
      <c r="F38" s="5"/>
    </row>
    <row r="39" ht="15.75" customHeight="1">
      <c r="A39" s="5"/>
      <c r="B39" s="5"/>
      <c r="C39" s="5"/>
      <c r="D39" s="5"/>
      <c r="E39" s="5"/>
      <c r="F39" s="5"/>
    </row>
    <row r="40" ht="15.75" customHeight="1">
      <c r="A40" s="5"/>
      <c r="B40" s="5"/>
      <c r="C40" s="5"/>
      <c r="D40" s="5"/>
      <c r="E40" s="5"/>
      <c r="F40" s="5"/>
    </row>
    <row r="41" ht="15.75" customHeight="1">
      <c r="A41" s="5"/>
      <c r="B41" s="5"/>
      <c r="C41" s="5"/>
      <c r="D41" s="5"/>
      <c r="E41" s="5"/>
      <c r="F41" s="5"/>
    </row>
    <row r="42" ht="15.75" customHeight="1">
      <c r="A42" s="5"/>
      <c r="B42" s="5"/>
      <c r="C42" s="5"/>
      <c r="D42" s="5"/>
      <c r="E42" s="5"/>
      <c r="F42" s="5"/>
    </row>
    <row r="43" ht="15.75" customHeight="1">
      <c r="A43" s="5"/>
      <c r="B43" s="5"/>
      <c r="C43" s="5"/>
      <c r="D43" s="5"/>
      <c r="E43" s="5"/>
      <c r="F43" s="5"/>
    </row>
    <row r="44" ht="15.75" customHeight="1">
      <c r="A44" s="5"/>
      <c r="B44" s="5"/>
      <c r="C44" s="5"/>
      <c r="D44" s="5"/>
      <c r="E44" s="5"/>
      <c r="F44" s="5"/>
    </row>
    <row r="45" ht="15.75" customHeight="1">
      <c r="A45" s="5"/>
      <c r="B45" s="5"/>
      <c r="C45" s="5"/>
      <c r="D45" s="5"/>
      <c r="E45" s="5"/>
      <c r="F45" s="5"/>
    </row>
    <row r="46" ht="15.75" customHeight="1">
      <c r="A46" s="5"/>
      <c r="B46" s="5"/>
      <c r="C46" s="5"/>
      <c r="D46" s="5"/>
      <c r="E46" s="5"/>
      <c r="F46" s="5"/>
    </row>
    <row r="47" ht="15.75" customHeight="1">
      <c r="A47" s="5"/>
      <c r="B47" s="5"/>
      <c r="C47" s="5"/>
      <c r="D47" s="5"/>
      <c r="E47" s="5"/>
      <c r="F47" s="5"/>
    </row>
    <row r="48" ht="15.75" customHeight="1">
      <c r="A48" s="5"/>
      <c r="B48" s="5"/>
      <c r="C48" s="5"/>
      <c r="D48" s="5"/>
      <c r="E48" s="5"/>
      <c r="F48" s="5"/>
    </row>
    <row r="49" ht="15.75" customHeight="1">
      <c r="A49" s="5"/>
      <c r="B49" s="5"/>
      <c r="C49" s="5"/>
      <c r="D49" s="5"/>
      <c r="E49" s="5"/>
      <c r="F49" s="5"/>
    </row>
    <row r="50" ht="15.75" customHeight="1">
      <c r="A50" s="5"/>
      <c r="B50" s="5"/>
      <c r="C50" s="5"/>
      <c r="D50" s="5"/>
      <c r="E50" s="5"/>
      <c r="F50" s="5"/>
    </row>
    <row r="51" ht="15.75" customHeight="1">
      <c r="A51" s="5"/>
      <c r="B51" s="5"/>
      <c r="C51" s="5"/>
      <c r="D51" s="5"/>
      <c r="E51" s="5"/>
      <c r="F51" s="5"/>
    </row>
    <row r="52" ht="15.75" customHeight="1">
      <c r="A52" s="5"/>
      <c r="B52" s="5"/>
      <c r="C52" s="5"/>
      <c r="D52" s="5"/>
      <c r="E52" s="5"/>
      <c r="F52" s="5"/>
    </row>
    <row r="53" ht="15.75" customHeight="1">
      <c r="A53" s="5"/>
      <c r="B53" s="5"/>
      <c r="C53" s="5"/>
      <c r="D53" s="5"/>
      <c r="E53" s="5"/>
      <c r="F53" s="5"/>
    </row>
    <row r="54" ht="15.75" customHeight="1">
      <c r="A54" s="5"/>
      <c r="B54" s="5"/>
      <c r="C54" s="5"/>
      <c r="D54" s="5"/>
      <c r="E54" s="5"/>
      <c r="F54" s="5"/>
    </row>
    <row r="55" ht="15.75" customHeight="1">
      <c r="A55" s="5"/>
      <c r="B55" s="5"/>
      <c r="C55" s="5"/>
      <c r="D55" s="5"/>
      <c r="E55" s="5"/>
      <c r="F55" s="5"/>
    </row>
    <row r="56" ht="15.75" customHeight="1">
      <c r="A56" s="5"/>
      <c r="B56" s="5"/>
      <c r="C56" s="5"/>
      <c r="D56" s="5"/>
      <c r="E56" s="5"/>
      <c r="F56" s="5"/>
    </row>
    <row r="57" ht="15.75" customHeight="1">
      <c r="A57" s="5"/>
      <c r="B57" s="5"/>
      <c r="C57" s="5"/>
      <c r="D57" s="5"/>
      <c r="E57" s="5"/>
      <c r="F57" s="5"/>
    </row>
    <row r="58" ht="15.75" customHeight="1">
      <c r="A58" s="5"/>
      <c r="B58" s="5"/>
      <c r="C58" s="5"/>
      <c r="D58" s="5"/>
      <c r="E58" s="5"/>
      <c r="F58" s="5"/>
    </row>
    <row r="59" ht="15.75" customHeight="1">
      <c r="A59" s="5"/>
      <c r="B59" s="5"/>
      <c r="C59" s="5"/>
      <c r="D59" s="5"/>
      <c r="E59" s="5"/>
      <c r="F59" s="5"/>
    </row>
    <row r="60" ht="15.75" customHeight="1">
      <c r="A60" s="5"/>
      <c r="B60" s="5"/>
      <c r="C60" s="5"/>
      <c r="D60" s="5"/>
      <c r="E60" s="5"/>
      <c r="F60" s="5"/>
    </row>
    <row r="61" ht="15.75" customHeight="1">
      <c r="A61" s="5"/>
      <c r="B61" s="5"/>
      <c r="C61" s="5"/>
      <c r="D61" s="5"/>
      <c r="E61" s="5"/>
      <c r="F61" s="5"/>
    </row>
    <row r="62" ht="15.75" customHeight="1">
      <c r="A62" s="5"/>
      <c r="B62" s="5"/>
      <c r="C62" s="5"/>
      <c r="D62" s="5"/>
      <c r="E62" s="5"/>
      <c r="F62" s="5"/>
    </row>
    <row r="63" ht="15.75" customHeight="1">
      <c r="A63" s="5"/>
      <c r="B63" s="5"/>
      <c r="C63" s="5"/>
      <c r="D63" s="5"/>
      <c r="E63" s="5"/>
      <c r="F63" s="5"/>
    </row>
    <row r="64" ht="15.75" customHeight="1">
      <c r="A64" s="5"/>
      <c r="B64" s="5"/>
      <c r="C64" s="5"/>
      <c r="D64" s="5"/>
      <c r="E64" s="5"/>
      <c r="F64" s="5"/>
    </row>
    <row r="65" ht="15.75" customHeight="1">
      <c r="A65" s="5"/>
      <c r="B65" s="5"/>
      <c r="C65" s="5"/>
      <c r="D65" s="5"/>
      <c r="E65" s="5"/>
      <c r="F65" s="5"/>
    </row>
    <row r="66" ht="15.75" customHeight="1">
      <c r="A66" s="5"/>
      <c r="B66" s="5"/>
      <c r="C66" s="5"/>
      <c r="D66" s="5"/>
      <c r="E66" s="5"/>
      <c r="F66" s="5"/>
    </row>
    <row r="67" ht="15.75" customHeight="1">
      <c r="A67" s="5"/>
      <c r="B67" s="5"/>
      <c r="C67" s="5"/>
      <c r="D67" s="5"/>
      <c r="E67" s="5"/>
      <c r="F67" s="5"/>
    </row>
    <row r="68" ht="15.75" customHeight="1">
      <c r="A68" s="5"/>
      <c r="B68" s="5"/>
      <c r="C68" s="5"/>
      <c r="D68" s="5"/>
      <c r="E68" s="5"/>
      <c r="F68" s="5"/>
    </row>
    <row r="69" ht="15.75" customHeight="1">
      <c r="A69" s="5"/>
      <c r="B69" s="5"/>
      <c r="C69" s="5"/>
      <c r="D69" s="5"/>
      <c r="E69" s="5"/>
      <c r="F69" s="5"/>
    </row>
    <row r="70" ht="15.75" customHeight="1">
      <c r="A70" s="5"/>
      <c r="B70" s="5"/>
      <c r="C70" s="5"/>
      <c r="D70" s="5"/>
      <c r="E70" s="5"/>
      <c r="F70" s="5"/>
    </row>
    <row r="71" ht="15.75" customHeight="1">
      <c r="A71" s="5"/>
      <c r="B71" s="5"/>
      <c r="C71" s="5"/>
      <c r="D71" s="5"/>
      <c r="E71" s="5"/>
      <c r="F71" s="5"/>
    </row>
    <row r="72" ht="15.75" customHeight="1">
      <c r="A72" s="5"/>
      <c r="B72" s="5"/>
      <c r="C72" s="5"/>
      <c r="D72" s="5"/>
      <c r="E72" s="5"/>
      <c r="F72" s="5"/>
    </row>
    <row r="73" ht="15.75" customHeight="1">
      <c r="A73" s="5"/>
      <c r="B73" s="5"/>
      <c r="C73" s="5"/>
      <c r="D73" s="5"/>
      <c r="E73" s="5"/>
      <c r="F73" s="5"/>
    </row>
    <row r="74" ht="15.75" customHeight="1">
      <c r="A74" s="5"/>
      <c r="B74" s="5"/>
      <c r="C74" s="5"/>
      <c r="D74" s="5"/>
      <c r="E74" s="5"/>
      <c r="F74" s="5"/>
    </row>
    <row r="75" ht="15.75" customHeight="1">
      <c r="A75" s="5"/>
      <c r="B75" s="5"/>
      <c r="C75" s="5"/>
      <c r="D75" s="5"/>
      <c r="E75" s="5"/>
      <c r="F75" s="5"/>
    </row>
    <row r="76" ht="15.75" customHeight="1">
      <c r="A76" s="5"/>
      <c r="B76" s="5"/>
      <c r="C76" s="5"/>
      <c r="D76" s="5"/>
      <c r="E76" s="5"/>
      <c r="F76" s="5"/>
    </row>
    <row r="77" ht="15.75" customHeight="1">
      <c r="A77" s="5"/>
      <c r="B77" s="5"/>
      <c r="C77" s="5"/>
      <c r="D77" s="5"/>
      <c r="E77" s="5"/>
      <c r="F77" s="5"/>
    </row>
    <row r="78" ht="15.75" customHeight="1">
      <c r="A78" s="5"/>
      <c r="B78" s="5"/>
      <c r="C78" s="5"/>
      <c r="D78" s="5"/>
      <c r="E78" s="5"/>
      <c r="F78" s="5"/>
    </row>
    <row r="79" ht="15.75" customHeight="1">
      <c r="A79" s="5"/>
      <c r="B79" s="5"/>
      <c r="C79" s="5"/>
      <c r="D79" s="5"/>
      <c r="E79" s="5"/>
      <c r="F79" s="5"/>
    </row>
    <row r="80" ht="15.75" customHeight="1">
      <c r="A80" s="5"/>
      <c r="B80" s="5"/>
      <c r="C80" s="5"/>
      <c r="D80" s="5"/>
      <c r="E80" s="5"/>
      <c r="F80" s="5"/>
    </row>
    <row r="81" ht="15.75" customHeight="1">
      <c r="A81" s="5"/>
      <c r="B81" s="5"/>
      <c r="C81" s="5"/>
      <c r="D81" s="5"/>
      <c r="E81" s="5"/>
      <c r="F81" s="5"/>
    </row>
    <row r="82" ht="15.75" customHeight="1">
      <c r="A82" s="5"/>
      <c r="B82" s="5"/>
      <c r="C82" s="5"/>
      <c r="D82" s="5"/>
      <c r="E82" s="5"/>
      <c r="F82" s="5"/>
    </row>
    <row r="83" ht="15.75" customHeight="1">
      <c r="A83" s="5"/>
      <c r="B83" s="5"/>
      <c r="C83" s="5"/>
      <c r="D83" s="5"/>
      <c r="E83" s="5"/>
      <c r="F83" s="5"/>
    </row>
    <row r="84" ht="15.75" customHeight="1">
      <c r="A84" s="5"/>
      <c r="B84" s="5"/>
      <c r="C84" s="5"/>
      <c r="D84" s="5"/>
      <c r="E84" s="5"/>
      <c r="F84" s="5"/>
    </row>
    <row r="85" ht="15.75" customHeight="1">
      <c r="A85" s="5"/>
      <c r="B85" s="5"/>
      <c r="C85" s="5"/>
      <c r="D85" s="5"/>
      <c r="E85" s="5"/>
      <c r="F85" s="5"/>
    </row>
    <row r="86" ht="15.75" customHeight="1">
      <c r="A86" s="5"/>
      <c r="B86" s="5"/>
      <c r="C86" s="5"/>
      <c r="D86" s="5"/>
      <c r="E86" s="5"/>
      <c r="F86" s="5"/>
    </row>
    <row r="87" ht="15.75" customHeight="1">
      <c r="A87" s="5"/>
      <c r="B87" s="5"/>
      <c r="C87" s="5"/>
      <c r="D87" s="5"/>
      <c r="E87" s="5"/>
      <c r="F87" s="5"/>
    </row>
    <row r="88" ht="15.75" customHeight="1">
      <c r="A88" s="5"/>
      <c r="B88" s="5"/>
      <c r="C88" s="5"/>
      <c r="D88" s="5"/>
      <c r="E88" s="5"/>
      <c r="F88" s="5"/>
    </row>
    <row r="89" ht="15.75" customHeight="1">
      <c r="A89" s="5"/>
      <c r="B89" s="5"/>
      <c r="C89" s="5"/>
      <c r="D89" s="5"/>
      <c r="E89" s="5"/>
      <c r="F89" s="5"/>
    </row>
    <row r="90" ht="15.75" customHeight="1">
      <c r="A90" s="5"/>
      <c r="B90" s="5"/>
      <c r="C90" s="5"/>
      <c r="D90" s="5"/>
      <c r="E90" s="5"/>
      <c r="F90" s="5"/>
    </row>
    <row r="91" ht="15.75" customHeight="1">
      <c r="A91" s="5"/>
      <c r="B91" s="5"/>
      <c r="C91" s="5"/>
      <c r="D91" s="5"/>
      <c r="E91" s="5"/>
      <c r="F91" s="5"/>
    </row>
    <row r="92" ht="15.75" customHeight="1">
      <c r="A92" s="5"/>
      <c r="B92" s="5"/>
      <c r="C92" s="5"/>
      <c r="D92" s="5"/>
      <c r="E92" s="5"/>
      <c r="F92" s="5"/>
    </row>
    <row r="93" ht="15.75" customHeight="1">
      <c r="A93" s="5"/>
      <c r="B93" s="5"/>
      <c r="C93" s="5"/>
      <c r="D93" s="5"/>
      <c r="E93" s="5"/>
      <c r="F93" s="5"/>
    </row>
    <row r="94" ht="15.75" customHeight="1">
      <c r="A94" s="5"/>
      <c r="B94" s="5"/>
      <c r="C94" s="5"/>
      <c r="D94" s="5"/>
      <c r="E94" s="5"/>
      <c r="F94" s="5"/>
    </row>
    <row r="95" ht="15.75" customHeight="1">
      <c r="A95" s="5"/>
      <c r="B95" s="5"/>
      <c r="C95" s="5"/>
      <c r="D95" s="5"/>
      <c r="E95" s="5"/>
      <c r="F95" s="5"/>
    </row>
    <row r="96" ht="15.75" customHeight="1">
      <c r="A96" s="5"/>
      <c r="B96" s="5"/>
      <c r="C96" s="5"/>
      <c r="D96" s="5"/>
      <c r="E96" s="5"/>
      <c r="F96" s="5"/>
    </row>
    <row r="97" ht="15.75" customHeight="1">
      <c r="A97" s="5"/>
      <c r="B97" s="5"/>
      <c r="C97" s="5"/>
      <c r="D97" s="5"/>
      <c r="E97" s="5"/>
      <c r="F97" s="5"/>
    </row>
    <row r="98" ht="15.75" customHeight="1">
      <c r="A98" s="5"/>
      <c r="B98" s="5"/>
      <c r="C98" s="5"/>
      <c r="D98" s="5"/>
      <c r="E98" s="5"/>
      <c r="F98" s="5"/>
    </row>
    <row r="99" ht="15.75" customHeight="1">
      <c r="A99" s="5"/>
      <c r="B99" s="5"/>
      <c r="C99" s="5"/>
      <c r="D99" s="5"/>
      <c r="E99" s="5"/>
      <c r="F99" s="5"/>
    </row>
    <row r="100" ht="15.75" customHeight="1">
      <c r="A100" s="5"/>
      <c r="B100" s="5"/>
      <c r="C100" s="5"/>
      <c r="D100" s="5"/>
      <c r="E100" s="5"/>
      <c r="F100" s="5"/>
    </row>
    <row r="101" ht="15.75" customHeight="1">
      <c r="A101" s="5"/>
      <c r="B101" s="5"/>
      <c r="C101" s="5"/>
      <c r="D101" s="5"/>
      <c r="E101" s="5"/>
      <c r="F101" s="5"/>
    </row>
    <row r="102" ht="15.75" customHeight="1">
      <c r="A102" s="5"/>
      <c r="B102" s="5"/>
      <c r="C102" s="5"/>
      <c r="D102" s="5"/>
      <c r="E102" s="5"/>
      <c r="F102" s="5"/>
    </row>
    <row r="103" ht="15.75" customHeight="1">
      <c r="A103" s="5"/>
      <c r="B103" s="5"/>
      <c r="C103" s="5"/>
      <c r="D103" s="5"/>
      <c r="E103" s="5"/>
      <c r="F103" s="5"/>
    </row>
    <row r="104" ht="15.75" customHeight="1">
      <c r="A104" s="5"/>
      <c r="B104" s="5"/>
      <c r="C104" s="5"/>
      <c r="D104" s="5"/>
      <c r="E104" s="5"/>
      <c r="F104" s="5"/>
    </row>
    <row r="105" ht="15.75" customHeight="1">
      <c r="A105" s="5"/>
      <c r="B105" s="5"/>
      <c r="C105" s="5"/>
      <c r="D105" s="5"/>
      <c r="E105" s="5"/>
      <c r="F105" s="5"/>
    </row>
    <row r="106" ht="15.75" customHeight="1">
      <c r="A106" s="5"/>
      <c r="B106" s="5"/>
      <c r="C106" s="5"/>
      <c r="D106" s="5"/>
      <c r="E106" s="5"/>
      <c r="F106" s="5"/>
    </row>
    <row r="107" ht="15.75" customHeight="1">
      <c r="A107" s="5"/>
      <c r="B107" s="5"/>
      <c r="C107" s="5"/>
      <c r="D107" s="5"/>
      <c r="E107" s="5"/>
      <c r="F107" s="5"/>
    </row>
    <row r="108" ht="15.75" customHeight="1">
      <c r="A108" s="5"/>
      <c r="B108" s="5"/>
      <c r="C108" s="5"/>
      <c r="D108" s="5"/>
      <c r="E108" s="5"/>
      <c r="F108" s="5"/>
    </row>
    <row r="109" ht="15.75" customHeight="1">
      <c r="A109" s="5"/>
      <c r="B109" s="5"/>
      <c r="C109" s="5"/>
      <c r="D109" s="5"/>
      <c r="E109" s="5"/>
      <c r="F109" s="5"/>
    </row>
    <row r="110" ht="15.75" customHeight="1">
      <c r="A110" s="5"/>
      <c r="B110" s="5"/>
      <c r="C110" s="5"/>
      <c r="D110" s="5"/>
      <c r="E110" s="5"/>
      <c r="F110" s="5"/>
    </row>
    <row r="111" ht="15.75" customHeight="1">
      <c r="A111" s="5"/>
      <c r="B111" s="5"/>
      <c r="C111" s="5"/>
      <c r="D111" s="5"/>
      <c r="E111" s="5"/>
      <c r="F111" s="5"/>
    </row>
    <row r="112" ht="15.75" customHeight="1">
      <c r="A112" s="5"/>
      <c r="B112" s="5"/>
      <c r="C112" s="5"/>
      <c r="D112" s="5"/>
      <c r="E112" s="5"/>
      <c r="F112" s="5"/>
    </row>
    <row r="113" ht="15.75" customHeight="1">
      <c r="A113" s="5"/>
      <c r="B113" s="5"/>
      <c r="C113" s="5"/>
      <c r="D113" s="5"/>
      <c r="E113" s="5"/>
      <c r="F113" s="5"/>
    </row>
    <row r="114" ht="15.75" customHeight="1">
      <c r="A114" s="5"/>
      <c r="B114" s="5"/>
      <c r="C114" s="5"/>
      <c r="D114" s="5"/>
      <c r="E114" s="5"/>
      <c r="F114" s="5"/>
    </row>
    <row r="115" ht="15.75" customHeight="1">
      <c r="A115" s="5"/>
      <c r="B115" s="5"/>
      <c r="C115" s="5"/>
      <c r="D115" s="5"/>
      <c r="E115" s="5"/>
      <c r="F115" s="5"/>
    </row>
    <row r="116" ht="15.75" customHeight="1">
      <c r="A116" s="5"/>
      <c r="B116" s="5"/>
      <c r="C116" s="5"/>
      <c r="D116" s="5"/>
      <c r="E116" s="5"/>
      <c r="F116" s="5"/>
    </row>
    <row r="117" ht="15.75" customHeight="1">
      <c r="A117" s="5"/>
      <c r="B117" s="5"/>
      <c r="C117" s="5"/>
      <c r="D117" s="5"/>
      <c r="E117" s="5"/>
      <c r="F117" s="5"/>
    </row>
    <row r="118" ht="15.75" customHeight="1">
      <c r="A118" s="5"/>
      <c r="B118" s="5"/>
      <c r="C118" s="5"/>
      <c r="D118" s="5"/>
      <c r="E118" s="5"/>
      <c r="F118" s="5"/>
    </row>
    <row r="119" ht="15.75" customHeight="1">
      <c r="A119" s="5"/>
      <c r="B119" s="5"/>
      <c r="C119" s="5"/>
      <c r="D119" s="5"/>
      <c r="E119" s="5"/>
      <c r="F119" s="5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5"/>
      <c r="B121" s="5"/>
      <c r="C121" s="5"/>
      <c r="D121" s="5"/>
      <c r="E121" s="5"/>
      <c r="F121" s="5"/>
    </row>
    <row r="122" ht="15.75" customHeight="1">
      <c r="A122" s="5"/>
      <c r="B122" s="5"/>
      <c r="C122" s="5"/>
      <c r="D122" s="5"/>
      <c r="E122" s="5"/>
      <c r="F122" s="5"/>
    </row>
    <row r="123" ht="15.75" customHeight="1">
      <c r="A123" s="5"/>
      <c r="B123" s="5"/>
      <c r="C123" s="5"/>
      <c r="D123" s="5"/>
      <c r="E123" s="5"/>
      <c r="F123" s="5"/>
    </row>
    <row r="124" ht="15.75" customHeight="1">
      <c r="A124" s="5"/>
      <c r="B124" s="5"/>
      <c r="C124" s="5"/>
      <c r="D124" s="5"/>
      <c r="E124" s="5"/>
      <c r="F124" s="5"/>
    </row>
    <row r="125" ht="15.75" customHeight="1">
      <c r="A125" s="5"/>
      <c r="B125" s="5"/>
      <c r="C125" s="5"/>
      <c r="D125" s="5"/>
      <c r="E125" s="5"/>
      <c r="F125" s="5"/>
    </row>
    <row r="126" ht="15.75" customHeight="1">
      <c r="A126" s="5"/>
      <c r="B126" s="5"/>
      <c r="C126" s="5"/>
      <c r="D126" s="5"/>
      <c r="E126" s="5"/>
      <c r="F126" s="5"/>
    </row>
    <row r="127" ht="15.75" customHeight="1">
      <c r="A127" s="5"/>
      <c r="B127" s="5"/>
      <c r="C127" s="5"/>
      <c r="D127" s="5"/>
      <c r="E127" s="5"/>
      <c r="F127" s="5"/>
    </row>
    <row r="128" ht="15.75" customHeight="1">
      <c r="A128" s="5"/>
      <c r="B128" s="5"/>
      <c r="C128" s="5"/>
      <c r="D128" s="5"/>
      <c r="E128" s="5"/>
      <c r="F128" s="5"/>
    </row>
    <row r="129" ht="15.75" customHeight="1">
      <c r="A129" s="5"/>
      <c r="B129" s="5"/>
      <c r="C129" s="5"/>
      <c r="D129" s="5"/>
      <c r="E129" s="5"/>
      <c r="F129" s="5"/>
    </row>
    <row r="130" ht="15.75" customHeight="1">
      <c r="A130" s="5"/>
      <c r="B130" s="5"/>
      <c r="C130" s="5"/>
      <c r="D130" s="5"/>
      <c r="E130" s="5"/>
      <c r="F130" s="5"/>
    </row>
    <row r="131" ht="15.75" customHeight="1">
      <c r="A131" s="5"/>
      <c r="B131" s="5"/>
      <c r="C131" s="5"/>
      <c r="D131" s="5"/>
      <c r="E131" s="5"/>
      <c r="F131" s="5"/>
    </row>
    <row r="132" ht="15.75" customHeight="1">
      <c r="A132" s="5"/>
      <c r="B132" s="5"/>
      <c r="C132" s="5"/>
      <c r="D132" s="5"/>
      <c r="E132" s="5"/>
      <c r="F132" s="5"/>
    </row>
    <row r="133" ht="15.75" customHeight="1">
      <c r="A133" s="5"/>
      <c r="B133" s="5"/>
      <c r="C133" s="5"/>
      <c r="D133" s="5"/>
      <c r="E133" s="5"/>
      <c r="F133" s="5"/>
    </row>
    <row r="134" ht="15.75" customHeight="1">
      <c r="A134" s="5"/>
      <c r="B134" s="5"/>
      <c r="C134" s="5"/>
      <c r="D134" s="5"/>
      <c r="E134" s="5"/>
      <c r="F134" s="5"/>
    </row>
    <row r="135" ht="15.75" customHeight="1">
      <c r="A135" s="5"/>
      <c r="B135" s="5"/>
      <c r="C135" s="5"/>
      <c r="D135" s="5"/>
      <c r="E135" s="5"/>
      <c r="F135" s="5"/>
    </row>
    <row r="136" ht="15.75" customHeight="1">
      <c r="A136" s="5"/>
      <c r="B136" s="5"/>
      <c r="C136" s="5"/>
      <c r="D136" s="5"/>
      <c r="E136" s="5"/>
      <c r="F136" s="5"/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F1"/>
    <mergeCell ref="A2:C2"/>
    <mergeCell ref="D2:F2"/>
    <mergeCell ref="A10:C10"/>
    <mergeCell ref="B18:C18"/>
    <mergeCell ref="B19:C19"/>
    <mergeCell ref="D19:F19"/>
    <mergeCell ref="B23:C23"/>
    <mergeCell ref="B24:C24"/>
    <mergeCell ref="B20:C20"/>
    <mergeCell ref="D20:F20"/>
    <mergeCell ref="B21:C21"/>
    <mergeCell ref="D21:F21"/>
    <mergeCell ref="B22:C22"/>
    <mergeCell ref="D22:F22"/>
    <mergeCell ref="D23:F23"/>
    <mergeCell ref="D24:F24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2.0"/>
    <col customWidth="1" min="2" max="3" width="14.0"/>
    <col customWidth="1" min="4" max="4" width="70.0"/>
    <col customWidth="1" min="5" max="6" width="14.43"/>
  </cols>
  <sheetData>
    <row r="1" ht="19.5" customHeight="1">
      <c r="A1" s="2" t="s">
        <v>2</v>
      </c>
    </row>
    <row r="2" ht="15.0" customHeight="1">
      <c r="A2" s="8" t="s">
        <v>3</v>
      </c>
      <c r="B2" s="8" t="s">
        <v>6</v>
      </c>
      <c r="C2" s="8" t="s">
        <v>7</v>
      </c>
      <c r="D2" s="8" t="s">
        <v>8</v>
      </c>
    </row>
    <row r="3" ht="15.0" customHeight="1">
      <c r="A3" s="7" t="s">
        <v>9</v>
      </c>
      <c r="B3" s="10"/>
      <c r="C3" s="10"/>
      <c r="D3" s="10"/>
    </row>
    <row r="4" ht="15.0" customHeight="1">
      <c r="A4" s="12" t="s">
        <v>11</v>
      </c>
      <c r="B4" s="14">
        <v>4200000.0</v>
      </c>
      <c r="C4" s="15" t="s">
        <v>15</v>
      </c>
      <c r="D4" s="16" t="s">
        <v>18</v>
      </c>
    </row>
    <row r="5" ht="15.0" customHeight="1">
      <c r="A5" s="12" t="s">
        <v>21</v>
      </c>
      <c r="B5" s="17">
        <v>0.8</v>
      </c>
      <c r="C5" s="15" t="s">
        <v>22</v>
      </c>
      <c r="D5" s="16" t="s">
        <v>23</v>
      </c>
    </row>
    <row r="6" ht="15.0" customHeight="1">
      <c r="A6" s="12" t="s">
        <v>24</v>
      </c>
      <c r="B6" s="17">
        <v>0.2</v>
      </c>
      <c r="C6" s="15" t="s">
        <v>22</v>
      </c>
      <c r="D6" s="16" t="s">
        <v>23</v>
      </c>
    </row>
    <row r="7" ht="15.0" customHeight="1">
      <c r="A7" s="12" t="s">
        <v>25</v>
      </c>
      <c r="B7" s="17">
        <v>0.05</v>
      </c>
      <c r="C7" s="15" t="s">
        <v>22</v>
      </c>
      <c r="D7" s="16" t="s">
        <v>23</v>
      </c>
    </row>
    <row r="8" ht="15.0" customHeight="1">
      <c r="A8" s="12" t="s">
        <v>26</v>
      </c>
      <c r="B8" s="14">
        <v>2700.0</v>
      </c>
      <c r="C8" s="15" t="s">
        <v>27</v>
      </c>
      <c r="D8" s="16" t="s">
        <v>28</v>
      </c>
    </row>
    <row r="9" ht="15.0" customHeight="1">
      <c r="A9" s="12" t="s">
        <v>29</v>
      </c>
      <c r="B9" s="14">
        <f>0.65*500+0.35*2000</f>
        <v>1025</v>
      </c>
      <c r="C9" s="15" t="s">
        <v>33</v>
      </c>
      <c r="D9" s="16" t="s">
        <v>34</v>
      </c>
    </row>
    <row r="10" ht="15.0" customHeight="1">
      <c r="A10" s="21" t="s">
        <v>37</v>
      </c>
      <c r="B10" s="22">
        <v>0.9</v>
      </c>
      <c r="C10" s="23" t="s">
        <v>22</v>
      </c>
      <c r="D10" s="24" t="s">
        <v>39</v>
      </c>
    </row>
    <row r="11" ht="15.0" customHeight="1">
      <c r="A11" s="25"/>
      <c r="B11" s="4"/>
      <c r="C11" s="4"/>
      <c r="D11" s="4"/>
    </row>
    <row r="12" ht="15.0" customHeight="1">
      <c r="A12" s="7" t="s">
        <v>43</v>
      </c>
      <c r="B12" s="10"/>
      <c r="C12" s="10"/>
      <c r="D12" s="10"/>
    </row>
    <row r="13" ht="15.0" customHeight="1">
      <c r="A13" s="12" t="s">
        <v>44</v>
      </c>
      <c r="B13" s="31">
        <v>120.0</v>
      </c>
      <c r="C13" s="15" t="s">
        <v>46</v>
      </c>
      <c r="D13" s="16" t="s">
        <v>47</v>
      </c>
    </row>
    <row r="14" ht="15.0" customHeight="1">
      <c r="A14" s="12" t="s">
        <v>48</v>
      </c>
      <c r="B14" s="31">
        <v>4.0</v>
      </c>
      <c r="C14" s="15" t="s">
        <v>46</v>
      </c>
      <c r="D14" s="16" t="s">
        <v>50</v>
      </c>
    </row>
    <row r="15" ht="15.0" customHeight="1">
      <c r="A15" s="12" t="s">
        <v>51</v>
      </c>
      <c r="B15" s="31">
        <v>2.0</v>
      </c>
      <c r="C15" s="15" t="s">
        <v>46</v>
      </c>
      <c r="D15" s="16" t="s">
        <v>50</v>
      </c>
    </row>
    <row r="16" ht="15.0" customHeight="1">
      <c r="A16" s="12" t="s">
        <v>54</v>
      </c>
      <c r="B16" s="31">
        <v>5.0</v>
      </c>
      <c r="C16" s="15" t="s">
        <v>46</v>
      </c>
      <c r="D16" s="16" t="s">
        <v>50</v>
      </c>
    </row>
    <row r="17" ht="15.0" customHeight="1">
      <c r="A17" s="12" t="s">
        <v>57</v>
      </c>
      <c r="B17" s="31">
        <v>8.0</v>
      </c>
      <c r="C17" s="15" t="s">
        <v>46</v>
      </c>
      <c r="D17" s="16" t="s">
        <v>50</v>
      </c>
    </row>
    <row r="18" ht="15.0" customHeight="1">
      <c r="A18" s="12" t="s">
        <v>60</v>
      </c>
      <c r="B18" s="31">
        <v>5.0</v>
      </c>
      <c r="C18" s="15" t="s">
        <v>46</v>
      </c>
      <c r="D18" s="16" t="s">
        <v>50</v>
      </c>
    </row>
    <row r="19" ht="15.0" customHeight="1">
      <c r="A19" s="12" t="s">
        <v>61</v>
      </c>
      <c r="B19" s="31">
        <v>5.0</v>
      </c>
      <c r="C19" s="15" t="s">
        <v>46</v>
      </c>
      <c r="D19" s="16" t="s">
        <v>50</v>
      </c>
    </row>
    <row r="20" ht="15.0" customHeight="1">
      <c r="A20" s="12" t="s">
        <v>62</v>
      </c>
      <c r="B20" s="31">
        <v>14.0</v>
      </c>
      <c r="C20" s="15" t="s">
        <v>46</v>
      </c>
      <c r="D20" s="16" t="s">
        <v>63</v>
      </c>
    </row>
    <row r="21" ht="15.0" customHeight="1">
      <c r="A21" s="12" t="s">
        <v>36</v>
      </c>
      <c r="B21" s="31">
        <v>29.0</v>
      </c>
      <c r="C21" s="15" t="s">
        <v>46</v>
      </c>
      <c r="D21" s="16" t="s">
        <v>64</v>
      </c>
    </row>
    <row r="22" ht="15.0" customHeight="1">
      <c r="A22" s="12" t="s">
        <v>65</v>
      </c>
      <c r="B22" s="33">
        <v>0.3</v>
      </c>
      <c r="C22" s="15" t="s">
        <v>22</v>
      </c>
      <c r="D22" s="16" t="s">
        <v>67</v>
      </c>
    </row>
    <row r="23" ht="15.75" customHeight="1">
      <c r="A23" s="5"/>
      <c r="B23" s="5"/>
      <c r="C23" s="5"/>
      <c r="D23" s="5"/>
    </row>
    <row r="24" ht="15.0" customHeight="1">
      <c r="A24" s="7" t="s">
        <v>69</v>
      </c>
      <c r="B24" s="10"/>
      <c r="C24" s="10"/>
      <c r="D24" s="10"/>
    </row>
    <row r="25" ht="15.0" customHeight="1">
      <c r="A25" s="12" t="s">
        <v>70</v>
      </c>
      <c r="B25" s="19">
        <v>35.0</v>
      </c>
      <c r="C25" s="15" t="s">
        <v>71</v>
      </c>
      <c r="D25" s="16" t="s">
        <v>72</v>
      </c>
    </row>
    <row r="26" ht="15.0" customHeight="1">
      <c r="A26" s="12" t="s">
        <v>73</v>
      </c>
      <c r="B26" s="19">
        <v>45.0</v>
      </c>
      <c r="C26" s="15" t="s">
        <v>71</v>
      </c>
      <c r="D26" s="16" t="s">
        <v>75</v>
      </c>
    </row>
    <row r="27" ht="15.0" customHeight="1">
      <c r="A27" s="12" t="s">
        <v>76</v>
      </c>
      <c r="B27" s="34">
        <v>0.0236</v>
      </c>
      <c r="C27" s="15" t="s">
        <v>77</v>
      </c>
      <c r="D27" s="16" t="s">
        <v>78</v>
      </c>
    </row>
    <row r="28" ht="15.0" customHeight="1">
      <c r="A28" s="12" t="s">
        <v>80</v>
      </c>
      <c r="B28" s="35">
        <v>1.5</v>
      </c>
      <c r="C28" s="15" t="s">
        <v>71</v>
      </c>
      <c r="D28" s="16" t="s">
        <v>82</v>
      </c>
    </row>
    <row r="29" ht="15.0" customHeight="1">
      <c r="A29" s="12" t="s">
        <v>83</v>
      </c>
      <c r="B29" s="35">
        <v>1.0</v>
      </c>
      <c r="C29" s="15" t="s">
        <v>71</v>
      </c>
      <c r="D29" s="16" t="s">
        <v>84</v>
      </c>
    </row>
    <row r="30" ht="15.0" customHeight="1">
      <c r="A30" s="12" t="s">
        <v>85</v>
      </c>
      <c r="B30" s="19">
        <v>15000.0</v>
      </c>
      <c r="C30" s="15" t="s">
        <v>86</v>
      </c>
      <c r="D30" s="16" t="s">
        <v>87</v>
      </c>
    </row>
    <row r="31" ht="15.0" customHeight="1">
      <c r="A31" s="12" t="s">
        <v>88</v>
      </c>
      <c r="B31" s="19">
        <v>25.0</v>
      </c>
      <c r="C31" s="15" t="s">
        <v>71</v>
      </c>
      <c r="D31" s="16" t="s">
        <v>89</v>
      </c>
    </row>
    <row r="32" ht="15.0" customHeight="1">
      <c r="A32" s="12" t="s">
        <v>90</v>
      </c>
      <c r="B32" s="36">
        <v>0.25</v>
      </c>
      <c r="C32" s="15" t="s">
        <v>22</v>
      </c>
      <c r="D32" s="16" t="s">
        <v>91</v>
      </c>
    </row>
    <row r="33" ht="15.0" customHeight="1">
      <c r="A33" s="12" t="s">
        <v>92</v>
      </c>
      <c r="B33" s="19">
        <v>0.0</v>
      </c>
      <c r="C33" s="15" t="s">
        <v>93</v>
      </c>
      <c r="D33" s="16" t="s">
        <v>94</v>
      </c>
    </row>
    <row r="34" ht="21.75" customHeight="1">
      <c r="A34" s="12" t="s">
        <v>95</v>
      </c>
      <c r="B34" s="35">
        <f>((10000/30)/(Shelf/7))</f>
        <v>2.276422764</v>
      </c>
      <c r="C34" s="15" t="s">
        <v>98</v>
      </c>
      <c r="D34" s="16" t="s">
        <v>99</v>
      </c>
    </row>
    <row r="35" ht="15.0" customHeight="1">
      <c r="A35" s="12" t="s">
        <v>100</v>
      </c>
      <c r="B35" s="37">
        <v>3.0</v>
      </c>
      <c r="C35" s="15" t="s">
        <v>101</v>
      </c>
      <c r="D35" s="16" t="s">
        <v>102</v>
      </c>
    </row>
    <row r="36" ht="15.0" customHeight="1">
      <c r="A36" s="12" t="s">
        <v>103</v>
      </c>
      <c r="B36" s="14">
        <v>7.0</v>
      </c>
      <c r="C36" s="15" t="s">
        <v>101</v>
      </c>
      <c r="D36" s="16" t="s">
        <v>105</v>
      </c>
    </row>
    <row r="37" ht="15.75" customHeight="1">
      <c r="A37" s="5"/>
      <c r="B37" s="5"/>
      <c r="C37" s="5"/>
      <c r="D37" s="5"/>
    </row>
    <row r="38" ht="15.0" customHeight="1">
      <c r="A38" s="7" t="s">
        <v>107</v>
      </c>
      <c r="B38" s="10"/>
      <c r="C38" s="10"/>
      <c r="D38" s="10"/>
    </row>
    <row r="39" ht="15.0" customHeight="1">
      <c r="A39" s="12" t="s">
        <v>108</v>
      </c>
      <c r="B39" s="19">
        <v>270.0</v>
      </c>
      <c r="C39" s="15" t="s">
        <v>46</v>
      </c>
      <c r="D39" s="16" t="s">
        <v>28</v>
      </c>
    </row>
    <row r="40" ht="15.0" customHeight="1">
      <c r="A40" s="12" t="s">
        <v>109</v>
      </c>
      <c r="B40" s="17">
        <v>0.0555555555555556</v>
      </c>
      <c r="C40" s="15" t="s">
        <v>110</v>
      </c>
      <c r="D40" s="16" t="s">
        <v>111</v>
      </c>
    </row>
    <row r="41" ht="15.0" customHeight="1">
      <c r="A41" s="12" t="s">
        <v>112</v>
      </c>
      <c r="B41" s="34">
        <v>0.1111</v>
      </c>
      <c r="C41" s="15" t="s">
        <v>110</v>
      </c>
      <c r="D41" s="16" t="s">
        <v>113</v>
      </c>
    </row>
    <row r="42" ht="15.75" customHeight="1">
      <c r="A42" s="5"/>
      <c r="B42" s="5"/>
      <c r="C42" s="5"/>
      <c r="D42" s="5"/>
    </row>
    <row r="43" ht="15.0" customHeight="1">
      <c r="A43" s="7" t="s">
        <v>114</v>
      </c>
      <c r="B43" s="10"/>
      <c r="C43" s="10"/>
      <c r="D43" s="10"/>
    </row>
    <row r="44" ht="15.0" customHeight="1">
      <c r="A44" s="12" t="s">
        <v>118</v>
      </c>
      <c r="B44" s="38">
        <v>0.1</v>
      </c>
      <c r="C44" s="15" t="s">
        <v>22</v>
      </c>
      <c r="D44" s="16" t="s">
        <v>119</v>
      </c>
    </row>
    <row r="45" ht="21.75" customHeight="1">
      <c r="A45" s="12" t="s">
        <v>121</v>
      </c>
      <c r="B45" s="38">
        <v>0.375</v>
      </c>
      <c r="C45" s="15" t="s">
        <v>22</v>
      </c>
      <c r="D45" s="16" t="s">
        <v>123</v>
      </c>
    </row>
    <row r="46" ht="15.0" customHeight="1">
      <c r="A46" s="12" t="s">
        <v>124</v>
      </c>
      <c r="B46" s="39">
        <v>12.0</v>
      </c>
      <c r="C46" s="15" t="s">
        <v>125</v>
      </c>
      <c r="D46" s="16" t="s">
        <v>126</v>
      </c>
    </row>
    <row r="47" ht="15.75" customHeight="1">
      <c r="A47" s="5"/>
      <c r="B47" s="5"/>
      <c r="C47" s="5"/>
      <c r="D47" s="5"/>
    </row>
    <row r="48" ht="15.0" customHeight="1">
      <c r="A48" s="40" t="s">
        <v>127</v>
      </c>
      <c r="B48" s="41"/>
      <c r="C48" s="41"/>
      <c r="D48" s="41"/>
    </row>
    <row r="49" ht="15.0" customHeight="1">
      <c r="A49" s="12" t="s">
        <v>129</v>
      </c>
      <c r="B49" s="19">
        <v>1.0E7</v>
      </c>
      <c r="C49" s="15" t="s">
        <v>130</v>
      </c>
      <c r="D49" s="16" t="s">
        <v>131</v>
      </c>
    </row>
    <row r="50" ht="15.0" customHeight="1">
      <c r="A50" s="12" t="s">
        <v>132</v>
      </c>
      <c r="B50" s="19">
        <v>200000.0</v>
      </c>
      <c r="C50" s="15" t="s">
        <v>130</v>
      </c>
      <c r="D50" s="16" t="s">
        <v>134</v>
      </c>
    </row>
    <row r="51" ht="15.0" customHeight="1">
      <c r="A51" s="12" t="s">
        <v>135</v>
      </c>
      <c r="B51" s="19">
        <v>0.0</v>
      </c>
      <c r="C51" s="15" t="s">
        <v>137</v>
      </c>
      <c r="D51" s="16" t="s">
        <v>138</v>
      </c>
    </row>
    <row r="52" ht="15.0" customHeight="1">
      <c r="A52" s="12" t="s">
        <v>139</v>
      </c>
      <c r="B52" s="19">
        <v>0.0</v>
      </c>
      <c r="C52" s="15" t="s">
        <v>137</v>
      </c>
      <c r="D52" s="16" t="s">
        <v>140</v>
      </c>
    </row>
    <row r="53" ht="15.0" customHeight="1">
      <c r="A53" s="12" t="s">
        <v>141</v>
      </c>
      <c r="B53" s="19">
        <v>0.0</v>
      </c>
      <c r="C53" s="15" t="s">
        <v>137</v>
      </c>
      <c r="D53" s="16" t="s">
        <v>142</v>
      </c>
    </row>
    <row r="54" ht="15.0" customHeight="1">
      <c r="A54" s="12" t="s">
        <v>143</v>
      </c>
      <c r="B54" s="19">
        <v>600000.0</v>
      </c>
      <c r="C54" s="15" t="s">
        <v>86</v>
      </c>
      <c r="D54" s="16" t="s">
        <v>144</v>
      </c>
    </row>
    <row r="55" ht="15.0" customHeight="1">
      <c r="A55" s="12" t="s">
        <v>145</v>
      </c>
      <c r="B55" s="19">
        <v>0.0</v>
      </c>
      <c r="C55" s="15" t="s">
        <v>86</v>
      </c>
      <c r="D55" s="16" t="s">
        <v>146</v>
      </c>
    </row>
    <row r="56" ht="21.75" customHeight="1">
      <c r="A56" s="12" t="s">
        <v>147</v>
      </c>
      <c r="B56" s="19">
        <v>0.0</v>
      </c>
      <c r="C56" s="15" t="s">
        <v>148</v>
      </c>
      <c r="D56" s="16" t="s">
        <v>149</v>
      </c>
    </row>
    <row r="57" ht="15.0" customHeight="1">
      <c r="A57" s="12" t="s">
        <v>150</v>
      </c>
      <c r="B57" s="19">
        <v>0.0</v>
      </c>
      <c r="C57" s="15" t="s">
        <v>137</v>
      </c>
      <c r="D57" s="16" t="s">
        <v>151</v>
      </c>
    </row>
    <row r="58" ht="15.75" customHeight="1">
      <c r="A58" s="5"/>
      <c r="B58" s="5"/>
      <c r="C58" s="5"/>
      <c r="D58" s="5"/>
    </row>
    <row r="59" ht="15.75" customHeight="1">
      <c r="A59" s="5"/>
      <c r="B59" s="5"/>
      <c r="C59" s="5"/>
      <c r="D59" s="5"/>
    </row>
    <row r="60" ht="15.75" customHeight="1">
      <c r="A60" s="5"/>
      <c r="B60" s="5"/>
      <c r="C60" s="5"/>
      <c r="D60" s="5"/>
    </row>
    <row r="61" ht="15.75" customHeight="1">
      <c r="A61" s="5"/>
      <c r="B61" s="5"/>
      <c r="C61" s="5"/>
      <c r="D61" s="5"/>
    </row>
    <row r="62" ht="15.75" customHeight="1">
      <c r="A62" s="5"/>
      <c r="B62" s="5"/>
      <c r="C62" s="5"/>
      <c r="D62" s="5"/>
    </row>
    <row r="63" ht="15.75" customHeight="1">
      <c r="A63" s="5"/>
      <c r="B63" s="5"/>
      <c r="C63" s="5"/>
      <c r="D63" s="5"/>
    </row>
    <row r="64" ht="15.75" customHeight="1">
      <c r="A64" s="5"/>
      <c r="B64" s="5"/>
      <c r="C64" s="5"/>
      <c r="D64" s="5"/>
    </row>
    <row r="65" ht="15.75" customHeight="1">
      <c r="A65" s="5"/>
      <c r="B65" s="5"/>
      <c r="C65" s="5"/>
      <c r="D65" s="5"/>
    </row>
    <row r="66" ht="15.75" customHeight="1">
      <c r="A66" s="5"/>
      <c r="B66" s="5"/>
      <c r="C66" s="5"/>
      <c r="D66" s="5"/>
    </row>
    <row r="67" ht="15.75" customHeight="1">
      <c r="A67" s="5"/>
      <c r="B67" s="5"/>
      <c r="C67" s="5"/>
      <c r="D67" s="5"/>
    </row>
    <row r="68" ht="15.75" customHeight="1">
      <c r="A68" s="5"/>
      <c r="B68" s="5"/>
      <c r="C68" s="5"/>
      <c r="D68" s="5"/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D1"/>
    <mergeCell ref="A3:D3"/>
    <mergeCell ref="A11:D11"/>
    <mergeCell ref="A12:D12"/>
    <mergeCell ref="A24:D24"/>
    <mergeCell ref="A38:D38"/>
    <mergeCell ref="A43:D43"/>
  </mergeCells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 fitToPage="1"/>
  </sheetPr>
  <sheetViews>
    <sheetView showGridLines="0" workbookViewId="0"/>
  </sheetViews>
  <sheetFormatPr customHeight="1" defaultColWidth="14.43" defaultRowHeight="15.0"/>
  <cols>
    <col customWidth="1" min="1" max="1" width="48.0"/>
    <col customWidth="1" min="2" max="2" width="17.43"/>
    <col customWidth="1" min="3" max="10" width="14.0"/>
    <col customWidth="1" min="11" max="12" width="16.0"/>
  </cols>
  <sheetData>
    <row r="1">
      <c r="A1" s="1" t="s">
        <v>190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>
      <c r="A2" s="52" t="s">
        <v>191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>
      <c r="A3" s="44" t="s">
        <v>192</v>
      </c>
      <c r="B3" s="53" t="s">
        <v>194</v>
      </c>
      <c r="C3" s="4"/>
      <c r="D3" s="4"/>
      <c r="E3" s="4"/>
      <c r="F3" s="4"/>
      <c r="G3" s="4"/>
      <c r="H3" s="4"/>
      <c r="I3" s="4"/>
      <c r="J3" s="4"/>
      <c r="K3" s="6"/>
      <c r="L3" s="5"/>
    </row>
    <row r="4">
      <c r="A4" s="44" t="s">
        <v>196</v>
      </c>
      <c r="B4" s="53" t="s">
        <v>197</v>
      </c>
      <c r="C4" s="4"/>
      <c r="D4" s="4"/>
      <c r="E4" s="4"/>
      <c r="F4" s="4"/>
      <c r="G4" s="4"/>
      <c r="H4" s="4"/>
      <c r="I4" s="4"/>
      <c r="J4" s="4"/>
      <c r="K4" s="6"/>
      <c r="L4" s="5"/>
    </row>
    <row r="5">
      <c r="A5" s="44" t="s">
        <v>198</v>
      </c>
      <c r="B5" s="53" t="s">
        <v>199</v>
      </c>
      <c r="C5" s="4"/>
      <c r="D5" s="4"/>
      <c r="E5" s="4"/>
      <c r="F5" s="4"/>
      <c r="G5" s="4"/>
      <c r="H5" s="4"/>
      <c r="I5" s="4"/>
      <c r="J5" s="4"/>
      <c r="K5" s="6"/>
      <c r="L5" s="5"/>
    </row>
    <row r="6">
      <c r="A6" s="55" t="s">
        <v>200</v>
      </c>
      <c r="B6" s="53" t="s">
        <v>201</v>
      </c>
      <c r="C6" s="4"/>
      <c r="D6" s="4"/>
      <c r="E6" s="4"/>
      <c r="F6" s="4"/>
      <c r="G6" s="4"/>
      <c r="H6" s="4"/>
      <c r="I6" s="4"/>
      <c r="J6" s="4"/>
      <c r="K6" s="6"/>
      <c r="L6" s="5"/>
    </row>
    <row r="7">
      <c r="A7" s="57" t="s">
        <v>203</v>
      </c>
      <c r="B7" s="58"/>
      <c r="C7" s="58"/>
    </row>
    <row r="8">
      <c r="A8" s="60" t="s">
        <v>204</v>
      </c>
      <c r="B8" s="60" t="s">
        <v>6</v>
      </c>
      <c r="C8" s="60" t="s">
        <v>7</v>
      </c>
    </row>
    <row r="9">
      <c r="A9" s="61" t="s">
        <v>108</v>
      </c>
      <c r="B9" s="31">
        <f>AOV</f>
        <v>270</v>
      </c>
      <c r="C9" s="63" t="s">
        <v>46</v>
      </c>
      <c r="D9" s="5"/>
    </row>
    <row r="10">
      <c r="A10" s="61" t="s">
        <v>109</v>
      </c>
      <c r="B10" s="38">
        <f>Fee_Express</f>
        <v>0.05555555556</v>
      </c>
      <c r="C10" s="63" t="s">
        <v>110</v>
      </c>
      <c r="D10" s="5"/>
    </row>
    <row r="11">
      <c r="A11" s="61" t="s">
        <v>112</v>
      </c>
      <c r="B11" s="38">
        <f>Fee_Seller</f>
        <v>0.1111</v>
      </c>
      <c r="C11" s="63" t="s">
        <v>110</v>
      </c>
      <c r="D11" s="5"/>
    </row>
    <row r="12">
      <c r="A12" s="64" t="s">
        <v>208</v>
      </c>
      <c r="B12" s="65">
        <f>AOV_P*FeeE_P+AOV_P*FeeS_P</f>
        <v>44.997</v>
      </c>
      <c r="C12" s="63" t="s">
        <v>71</v>
      </c>
      <c r="D12" s="5"/>
    </row>
    <row r="13">
      <c r="A13" s="61" t="s">
        <v>210</v>
      </c>
      <c r="B13" s="31">
        <f>Route_Base</f>
        <v>35</v>
      </c>
      <c r="C13" s="63" t="s">
        <v>71</v>
      </c>
      <c r="D13" s="5"/>
    </row>
    <row r="14">
      <c r="A14" s="61" t="s">
        <v>213</v>
      </c>
      <c r="B14" s="31">
        <v>40.0</v>
      </c>
      <c r="C14" s="63" t="s">
        <v>71</v>
      </c>
      <c r="D14" s="5"/>
    </row>
    <row r="15">
      <c r="A15" s="61" t="s">
        <v>214</v>
      </c>
      <c r="B15" s="31">
        <f>Route_High</f>
        <v>45</v>
      </c>
      <c r="C15" s="63" t="s">
        <v>71</v>
      </c>
      <c r="D15" s="5"/>
    </row>
    <row r="16">
      <c r="A16" s="61" t="s">
        <v>216</v>
      </c>
      <c r="B16" s="31">
        <v>10000.0</v>
      </c>
      <c r="C16" s="63" t="s">
        <v>86</v>
      </c>
      <c r="D16" s="5"/>
    </row>
    <row r="17">
      <c r="A17" s="64" t="s">
        <v>217</v>
      </c>
      <c r="B17" s="68">
        <f>Shelf*30/7</f>
        <v>4392.857143</v>
      </c>
      <c r="C17" s="63" t="s">
        <v>218</v>
      </c>
      <c r="D17" s="5"/>
    </row>
    <row r="18">
      <c r="A18" s="64" t="s">
        <v>220</v>
      </c>
      <c r="B18" s="65">
        <f>Rent_Hub/Routed_Hub</f>
        <v>2.276422764</v>
      </c>
      <c r="C18" s="63" t="s">
        <v>222</v>
      </c>
      <c r="D18" s="5"/>
    </row>
    <row r="19">
      <c r="A19" s="61" t="s">
        <v>223</v>
      </c>
      <c r="B19" s="39">
        <v>1.0</v>
      </c>
      <c r="C19" s="63" t="s">
        <v>224</v>
      </c>
      <c r="D19" s="5"/>
    </row>
    <row r="20">
      <c r="A20" s="64" t="s">
        <v>225</v>
      </c>
      <c r="B20" s="65">
        <f>IF(Rent_Method=1,Rent_Parcel,Rent_Parcel*Days_Sold)</f>
        <v>2.276422764</v>
      </c>
      <c r="C20" s="63" t="s">
        <v>71</v>
      </c>
      <c r="D20" s="5"/>
    </row>
    <row r="21">
      <c r="A21" s="64" t="s">
        <v>226</v>
      </c>
      <c r="B21" s="65">
        <f>IF(Rent_Method=1,Rent_Parcel,Rent_Parcel*Hold_Max)</f>
        <v>2.276422764</v>
      </c>
      <c r="C21" s="63" t="s">
        <v>222</v>
      </c>
      <c r="D21" s="5"/>
    </row>
    <row r="22">
      <c r="A22" s="61" t="s">
        <v>228</v>
      </c>
      <c r="B22" s="38">
        <v>0.05</v>
      </c>
      <c r="C22" s="63" t="s">
        <v>22</v>
      </c>
      <c r="D22" s="5"/>
    </row>
    <row r="23">
      <c r="A23" s="61" t="s">
        <v>229</v>
      </c>
      <c r="B23" s="38">
        <v>0.2</v>
      </c>
      <c r="C23" s="63" t="s">
        <v>22</v>
      </c>
      <c r="D23" s="5"/>
    </row>
    <row r="24">
      <c r="A24" s="61" t="s">
        <v>230</v>
      </c>
      <c r="B24" s="38">
        <v>0.375</v>
      </c>
      <c r="C24" s="63" t="s">
        <v>22</v>
      </c>
      <c r="D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>
      <c r="A26" s="52" t="s">
        <v>231</v>
      </c>
      <c r="B26" s="10"/>
      <c r="C26" s="10"/>
      <c r="D26" s="10"/>
    </row>
    <row r="27">
      <c r="A27" s="60" t="s">
        <v>162</v>
      </c>
      <c r="B27" s="60" t="s">
        <v>233</v>
      </c>
      <c r="C27" s="60" t="s">
        <v>234</v>
      </c>
      <c r="D27" s="60" t="s">
        <v>235</v>
      </c>
    </row>
    <row r="28">
      <c r="A28" s="12" t="s">
        <v>109</v>
      </c>
      <c r="B28" s="35">
        <f>AOV_P*FeeE_P</f>
        <v>15</v>
      </c>
      <c r="C28" s="35">
        <f>AOV_P*FeeE_P</f>
        <v>15</v>
      </c>
      <c r="D28" s="35">
        <f>AOV_P*FeeE_P</f>
        <v>15</v>
      </c>
    </row>
    <row r="29">
      <c r="A29" s="12" t="s">
        <v>112</v>
      </c>
      <c r="B29" s="35">
        <f>AOV_P*FeeS_P</f>
        <v>29.997</v>
      </c>
      <c r="C29" s="35">
        <f>AOV_P*FeeS_P</f>
        <v>29.997</v>
      </c>
      <c r="D29" s="35">
        <f>AOV_P*FeeS_P</f>
        <v>29.997</v>
      </c>
    </row>
    <row r="30">
      <c r="A30" s="26" t="s">
        <v>238</v>
      </c>
      <c r="B30" s="71">
        <f t="shared" ref="B30:D30" si="1">SUM(B28:B29)</f>
        <v>44.997</v>
      </c>
      <c r="C30" s="71">
        <f t="shared" si="1"/>
        <v>44.997</v>
      </c>
      <c r="D30" s="71">
        <f t="shared" si="1"/>
        <v>44.997</v>
      </c>
    </row>
    <row r="31">
      <c r="A31" s="12" t="s">
        <v>240</v>
      </c>
      <c r="B31" s="35">
        <v>-35.0</v>
      </c>
      <c r="C31" s="35">
        <v>-45.0</v>
      </c>
      <c r="D31" s="35">
        <v>-55.0</v>
      </c>
    </row>
    <row r="32">
      <c r="A32" s="12" t="s">
        <v>241</v>
      </c>
      <c r="B32" s="35">
        <f>-Rent_Sold</f>
        <v>-2.276422764</v>
      </c>
      <c r="C32" s="35">
        <f>-Rent_Sold</f>
        <v>-2.276422764</v>
      </c>
      <c r="D32" s="35">
        <f>-Rent_Sold</f>
        <v>-2.276422764</v>
      </c>
    </row>
    <row r="33">
      <c r="A33" s="26" t="s">
        <v>242</v>
      </c>
      <c r="B33" s="71">
        <f t="shared" ref="B33:D33" si="2">SUM(B31:B32)</f>
        <v>-37.27642276</v>
      </c>
      <c r="C33" s="71">
        <f t="shared" si="2"/>
        <v>-47.27642276</v>
      </c>
      <c r="D33" s="71">
        <f t="shared" si="2"/>
        <v>-57.27642276</v>
      </c>
    </row>
    <row r="34">
      <c r="A34" s="44" t="s">
        <v>243</v>
      </c>
      <c r="B34" s="72">
        <f t="shared" ref="B34:D34" si="3">B30+B33</f>
        <v>7.720577236</v>
      </c>
      <c r="C34" s="72">
        <f t="shared" si="3"/>
        <v>-2.279422764</v>
      </c>
      <c r="D34" s="72">
        <f t="shared" si="3"/>
        <v>-12.27942276</v>
      </c>
    </row>
    <row r="35">
      <c r="A35" s="16" t="s">
        <v>244</v>
      </c>
      <c r="B35" s="73">
        <f t="shared" ref="B35:D35" si="4">B34/B30</f>
        <v>0.1715798217</v>
      </c>
      <c r="C35" s="73">
        <f t="shared" si="4"/>
        <v>-0.05065721635</v>
      </c>
      <c r="D35" s="73">
        <f t="shared" si="4"/>
        <v>-0.2728942544</v>
      </c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>
      <c r="A37" s="52" t="s">
        <v>245</v>
      </c>
      <c r="B37" s="10"/>
      <c r="C37" s="10"/>
      <c r="D37" s="10"/>
    </row>
    <row r="38">
      <c r="A38" s="74" t="s">
        <v>246</v>
      </c>
      <c r="B38" s="74" t="s">
        <v>233</v>
      </c>
      <c r="C38" s="74" t="s">
        <v>234</v>
      </c>
      <c r="D38" s="74" t="s">
        <v>235</v>
      </c>
    </row>
    <row r="39">
      <c r="A39" s="75">
        <v>0.05</v>
      </c>
      <c r="B39" s="35">
        <f>$A39*Prof1-(1-$A39)*Rent_Unsold</f>
        <v>-1.776572764</v>
      </c>
      <c r="C39" s="35">
        <f>$A39*Prof2-(1-$A39)*Rent_Unsold</f>
        <v>-2.276572764</v>
      </c>
      <c r="D39" s="35">
        <f>$A39*Prof3-(1-$A39)*Rent_Unsold</f>
        <v>-2.776572764</v>
      </c>
    </row>
    <row r="40">
      <c r="A40" s="75">
        <v>0.1</v>
      </c>
      <c r="B40" s="35">
        <f>$A40*Prof1-(1-$A40)*Rent_Unsold</f>
        <v>-1.276722764</v>
      </c>
      <c r="C40" s="35">
        <f>$A40*Prof2-(1-$A40)*Rent_Unsold</f>
        <v>-2.276722764</v>
      </c>
      <c r="D40" s="35">
        <f>$A40*Prof3-(1-$A40)*Rent_Unsold</f>
        <v>-3.276722764</v>
      </c>
    </row>
    <row r="41">
      <c r="A41" s="75">
        <v>0.2</v>
      </c>
      <c r="B41" s="35">
        <f>$A41*Prof1-(1-$A41)*Rent_Unsold</f>
        <v>-0.2770227642</v>
      </c>
      <c r="C41" s="35">
        <f>$A41*Prof2-(1-$A41)*Rent_Unsold</f>
        <v>-2.277022764</v>
      </c>
      <c r="D41" s="35">
        <f>$A41*Prof3-(1-$A41)*Rent_Unsold</f>
        <v>-4.277022764</v>
      </c>
    </row>
    <row r="42">
      <c r="A42" s="75">
        <v>0.25</v>
      </c>
      <c r="B42" s="35">
        <f>$A42*Prof1-(1-$A42)*Rent_Unsold</f>
        <v>0.2228272358</v>
      </c>
      <c r="C42" s="35">
        <f>$A42*Prof2-(1-$A42)*Rent_Unsold</f>
        <v>-2.277172764</v>
      </c>
      <c r="D42" s="35">
        <f>$A42*Prof3-(1-$A42)*Rent_Unsold</f>
        <v>-4.777172764</v>
      </c>
    </row>
    <row r="43">
      <c r="A43" s="75">
        <v>0.3</v>
      </c>
      <c r="B43" s="35">
        <f>$A43*Prof1-(1-$A43)*Rent_Unsold</f>
        <v>0.7226772358</v>
      </c>
      <c r="C43" s="35">
        <f>$A43*Prof2-(1-$A43)*Rent_Unsold</f>
        <v>-2.277322764</v>
      </c>
      <c r="D43" s="35">
        <f>$A43*Prof3-(1-$A43)*Rent_Unsold</f>
        <v>-5.277322764</v>
      </c>
    </row>
    <row r="44">
      <c r="A44" s="75">
        <v>0.375</v>
      </c>
      <c r="B44" s="35">
        <f>$A44*Prof1-(1-$A44)*Rent_Unsold</f>
        <v>1.472452236</v>
      </c>
      <c r="C44" s="35">
        <f>$A44*Prof2-(1-$A44)*Rent_Unsold</f>
        <v>-2.277547764</v>
      </c>
      <c r="D44" s="35">
        <f>$A44*Prof3-(1-$A44)*Rent_Unsold</f>
        <v>-6.027547764</v>
      </c>
    </row>
    <row r="45">
      <c r="A45" s="75">
        <v>0.5</v>
      </c>
      <c r="B45" s="35">
        <f>$A45*Prof1-(1-$A45)*Rent_Unsold</f>
        <v>2.722077236</v>
      </c>
      <c r="C45" s="35">
        <f>$A45*Prof2-(1-$A45)*Rent_Unsold</f>
        <v>-2.277922764</v>
      </c>
      <c r="D45" s="35">
        <f>$A45*Prof3-(1-$A45)*Rent_Unsold</f>
        <v>-7.277922764</v>
      </c>
    </row>
    <row r="46">
      <c r="A46" s="44" t="s">
        <v>263</v>
      </c>
      <c r="B46" s="77">
        <f>IF(Prof1+Rent_Unsold&lt;=0,"Never",Rent_Unsold/(Prof1+Rent_Unsold))</f>
        <v>0.2277105896</v>
      </c>
      <c r="C46" s="77" t="str">
        <f>IF(Prof2+Rent_Unsold&lt;=0,"Never",Rent_Unsold/(Prof2+Rent_Unsold))</f>
        <v>Never</v>
      </c>
      <c r="D46" s="77" t="str">
        <f>IF(Prof3+Rent_Unsold&lt;=0,"Never",Rent_Unsold/(Prof3+Rent_Unsold))</f>
        <v>Never</v>
      </c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>
      <c r="A48" s="78" t="s">
        <v>267</v>
      </c>
      <c r="B48" s="79"/>
    </row>
    <row r="49">
      <c r="A49" s="13"/>
      <c r="B49" s="8" t="s">
        <v>233</v>
      </c>
    </row>
    <row r="50">
      <c r="A50" s="12" t="s">
        <v>271</v>
      </c>
      <c r="B50" s="19">
        <f>Rent_Hub</f>
        <v>10000</v>
      </c>
    </row>
    <row r="51">
      <c r="A51" s="12" t="s">
        <v>272</v>
      </c>
      <c r="B51" s="19">
        <f>Routed_Hub*(ST_M36*Rent_Sold+(1-ST_M36)*Rent_Unsold)</f>
        <v>10000</v>
      </c>
    </row>
    <row r="52">
      <c r="A52" s="44" t="s">
        <v>273</v>
      </c>
      <c r="B52" s="80">
        <f>B51/Rent_Hub</f>
        <v>1</v>
      </c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>
      <c r="A54" s="52" t="s">
        <v>274</v>
      </c>
      <c r="B54" s="10"/>
    </row>
    <row r="55">
      <c r="A55" s="12" t="s">
        <v>189</v>
      </c>
      <c r="B55" s="51">
        <f>Routed_Day</f>
        <v>395357.1429</v>
      </c>
    </row>
    <row r="56">
      <c r="A56" s="12" t="s">
        <v>275</v>
      </c>
      <c r="B56" s="51">
        <f>Routed_D_P*365/12</f>
        <v>12025446.43</v>
      </c>
    </row>
    <row r="57">
      <c r="A57" s="12" t="s">
        <v>276</v>
      </c>
      <c r="B57" s="82">
        <f>C_Maint+C_Support</f>
        <v>600000</v>
      </c>
    </row>
    <row r="58">
      <c r="A58" s="12" t="s">
        <v>277</v>
      </c>
      <c r="B58" s="82">
        <f>OneTime</f>
        <v>10200000</v>
      </c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>
      <c r="A60" s="52" t="s">
        <v>278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</row>
    <row r="61">
      <c r="A61" s="83" t="s">
        <v>279</v>
      </c>
    </row>
    <row r="62">
      <c r="A62" s="60" t="s">
        <v>281</v>
      </c>
      <c r="B62" s="60" t="s">
        <v>246</v>
      </c>
      <c r="C62" s="60" t="s">
        <v>282</v>
      </c>
      <c r="D62" s="60" t="s">
        <v>283</v>
      </c>
      <c r="E62" s="60" t="s">
        <v>284</v>
      </c>
      <c r="F62" s="60" t="s">
        <v>285</v>
      </c>
      <c r="G62" s="60" t="s">
        <v>286</v>
      </c>
      <c r="H62" s="60" t="s">
        <v>287</v>
      </c>
      <c r="I62" s="60" t="s">
        <v>288</v>
      </c>
      <c r="J62" s="60" t="s">
        <v>289</v>
      </c>
      <c r="K62" s="60" t="s">
        <v>290</v>
      </c>
    </row>
    <row r="63">
      <c r="A63" s="84">
        <v>1.0</v>
      </c>
      <c r="B63" s="17">
        <f>IF(A63&lt;=12,ST_M1+(ST_M12-ST_M1)*(A63-1)/11,ST_M12+(ST_M36-ST_M12)*(A63-12)/24)</f>
        <v>0.05</v>
      </c>
      <c r="C63" s="14">
        <f>Routed_M_P</f>
        <v>12025446.43</v>
      </c>
      <c r="D63" s="14">
        <f t="shared" ref="D63:D98" si="5">C63*B63</f>
        <v>601272.3214</v>
      </c>
      <c r="E63" s="85">
        <f>(C63*(B63*Prof1-(1-B63)*Rent_Unsold)-Maint_P-IF(A63=1,OneTime_P,0))/10^7</f>
        <v>-3.21640806</v>
      </c>
      <c r="F63" s="85">
        <f>E63</f>
        <v>-3.21640806</v>
      </c>
      <c r="G63" s="85">
        <f>(C63*(B63*Prof2-(1-B63)*Rent_Unsold)-Maint_P-IF(A63=1,OneTime_P,0))/10^7</f>
        <v>-3.817680382</v>
      </c>
      <c r="H63" s="85">
        <f>G63</f>
        <v>-3.817680382</v>
      </c>
      <c r="I63" s="85">
        <f>(C63*(B63*Prof3-(1-B63)*Rent_Unsold)-Maint_P-IF(A63=1,OneTime_P,0))/10^7</f>
        <v>-4.418952703</v>
      </c>
      <c r="J63" s="85">
        <f>I63</f>
        <v>-4.418952703</v>
      </c>
      <c r="K63" s="85">
        <f>D63*Reverse/10^7</f>
        <v>1.743689732</v>
      </c>
    </row>
    <row r="64">
      <c r="A64" s="84">
        <v>2.0</v>
      </c>
      <c r="B64" s="17">
        <f>IF(A64&lt;=12,ST_M1+(ST_M12-ST_M1)*(A64-1)/11,ST_M12+(ST_M36-ST_M12)*(A64-12)/24)</f>
        <v>0.06363636364</v>
      </c>
      <c r="C64" s="14">
        <f>Routed_M_P</f>
        <v>12025446.43</v>
      </c>
      <c r="D64" s="14">
        <f t="shared" si="5"/>
        <v>765255.6818</v>
      </c>
      <c r="E64" s="85">
        <f>(C64*(B64*Prof1-(1-B64)*Rent_Unsold)-Maint_P-IF(A64=1,OneTime_P,0))/10^7</f>
        <v>-2.032473895</v>
      </c>
      <c r="F64" s="85">
        <f t="shared" ref="F64:F98" si="6">F63+E64</f>
        <v>-5.248881955</v>
      </c>
      <c r="G64" s="85">
        <f>(C64*(B64*Prof2-(1-B64)*Rent_Unsold)-Maint_P-IF(A64=1,OneTime_P,0))/10^7</f>
        <v>-2.797729577</v>
      </c>
      <c r="H64" s="85">
        <f t="shared" ref="H64:H98" si="7">H63+G64</f>
        <v>-6.615409958</v>
      </c>
      <c r="I64" s="85">
        <f>(C64*(B64*Prof3-(1-B64)*Rent_Unsold)-Maint_P-IF(A64=1,OneTime_P,0))/10^7</f>
        <v>-3.562985259</v>
      </c>
      <c r="J64" s="85">
        <f t="shared" ref="J64:J98" si="8">J63+I64</f>
        <v>-7.981937962</v>
      </c>
      <c r="K64" s="85">
        <f>D64*Reverse/10^7</f>
        <v>2.219241477</v>
      </c>
    </row>
    <row r="65">
      <c r="A65" s="84">
        <v>3.0</v>
      </c>
      <c r="B65" s="17">
        <f>IF(A65&lt;=12,ST_M1+(ST_M12-ST_M1)*(A65-1)/11,ST_M12+(ST_M36-ST_M12)*(A65-12)/24)</f>
        <v>0.07727272727</v>
      </c>
      <c r="C65" s="14">
        <f>Routed_M_P</f>
        <v>12025446.43</v>
      </c>
      <c r="D65" s="14">
        <f t="shared" si="5"/>
        <v>929239.0422</v>
      </c>
      <c r="E65" s="85">
        <f>(C65*(B65*Prof1-(1-B65)*Rent_Unsold)-Maint_P-IF(A65=1,OneTime_P,0))/10^7</f>
        <v>-1.86853973</v>
      </c>
      <c r="F65" s="85">
        <f t="shared" si="6"/>
        <v>-7.117421685</v>
      </c>
      <c r="G65" s="85">
        <f>(C65*(B65*Prof2-(1-B65)*Rent_Unsold)-Maint_P-IF(A65=1,OneTime_P,0))/10^7</f>
        <v>-2.797778772</v>
      </c>
      <c r="H65" s="85">
        <f t="shared" si="7"/>
        <v>-9.41318873</v>
      </c>
      <c r="I65" s="85">
        <f>(C65*(B65*Prof3-(1-B65)*Rent_Unsold)-Maint_P-IF(A65=1,OneTime_P,0))/10^7</f>
        <v>-3.727017814</v>
      </c>
      <c r="J65" s="85">
        <f t="shared" si="8"/>
        <v>-11.70895578</v>
      </c>
      <c r="K65" s="85">
        <f>D65*Reverse/10^7</f>
        <v>2.694793222</v>
      </c>
    </row>
    <row r="66">
      <c r="A66" s="84">
        <v>4.0</v>
      </c>
      <c r="B66" s="17">
        <f>IF(A66&lt;=12,ST_M1+(ST_M12-ST_M1)*(A66-1)/11,ST_M12+(ST_M36-ST_M12)*(A66-12)/24)</f>
        <v>0.09090909091</v>
      </c>
      <c r="C66" s="14">
        <f>Routed_M_P</f>
        <v>12025446.43</v>
      </c>
      <c r="D66" s="14">
        <f t="shared" si="5"/>
        <v>1093222.403</v>
      </c>
      <c r="E66" s="85">
        <f>(C66*(B66*Prof1-(1-B66)*Rent_Unsold)-Maint_P-IF(A66=1,OneTime_P,0))/10^7</f>
        <v>-1.704605564</v>
      </c>
      <c r="F66" s="85">
        <f t="shared" si="6"/>
        <v>-8.822027249</v>
      </c>
      <c r="G66" s="85">
        <f>(C66*(B66*Prof2-(1-B66)*Rent_Unsold)-Maint_P-IF(A66=1,OneTime_P,0))/10^7</f>
        <v>-2.797827967</v>
      </c>
      <c r="H66" s="85">
        <f t="shared" si="7"/>
        <v>-12.2110167</v>
      </c>
      <c r="I66" s="85">
        <f>(C66*(B66*Prof3-(1-B66)*Rent_Unsold)-Maint_P-IF(A66=1,OneTime_P,0))/10^7</f>
        <v>-3.891050369</v>
      </c>
      <c r="J66" s="85">
        <f t="shared" si="8"/>
        <v>-15.60000614</v>
      </c>
      <c r="K66" s="85">
        <f>D66*Reverse/10^7</f>
        <v>3.170344968</v>
      </c>
    </row>
    <row r="67">
      <c r="A67" s="84">
        <v>5.0</v>
      </c>
      <c r="B67" s="17">
        <f>IF(A67&lt;=12,ST_M1+(ST_M12-ST_M1)*(A67-1)/11,ST_M12+(ST_M36-ST_M12)*(A67-12)/24)</f>
        <v>0.1045454545</v>
      </c>
      <c r="C67" s="14">
        <f>Routed_M_P</f>
        <v>12025446.43</v>
      </c>
      <c r="D67" s="14">
        <f t="shared" si="5"/>
        <v>1257205.763</v>
      </c>
      <c r="E67" s="85">
        <f>(C67*(B67*Prof1-(1-B67)*Rent_Unsold)-Maint_P-IF(A67=1,OneTime_P,0))/10^7</f>
        <v>-1.540671399</v>
      </c>
      <c r="F67" s="85">
        <f t="shared" si="6"/>
        <v>-10.36269865</v>
      </c>
      <c r="G67" s="85">
        <f>(C67*(B67*Prof2-(1-B67)*Rent_Unsold)-Maint_P-IF(A67=1,OneTime_P,0))/10^7</f>
        <v>-2.797877162</v>
      </c>
      <c r="H67" s="85">
        <f t="shared" si="7"/>
        <v>-15.00889386</v>
      </c>
      <c r="I67" s="85">
        <f>(C67*(B67*Prof3-(1-B67)*Rent_Unsold)-Maint_P-IF(A67=1,OneTime_P,0))/10^7</f>
        <v>-4.055082925</v>
      </c>
      <c r="J67" s="85">
        <f t="shared" si="8"/>
        <v>-19.65508907</v>
      </c>
      <c r="K67" s="85">
        <f>D67*Reverse/10^7</f>
        <v>3.645896713</v>
      </c>
    </row>
    <row r="68">
      <c r="A68" s="84">
        <v>6.0</v>
      </c>
      <c r="B68" s="17">
        <f>IF(A68&lt;=12,ST_M1+(ST_M12-ST_M1)*(A68-1)/11,ST_M12+(ST_M36-ST_M12)*(A68-12)/24)</f>
        <v>0.1181818182</v>
      </c>
      <c r="C68" s="14">
        <f>Routed_M_P</f>
        <v>12025446.43</v>
      </c>
      <c r="D68" s="14">
        <f t="shared" si="5"/>
        <v>1421189.123</v>
      </c>
      <c r="E68" s="85">
        <f>(C68*(B68*Prof1-(1-B68)*Rent_Unsold)-Maint_P-IF(A68=1,OneTime_P,0))/10^7</f>
        <v>-1.376737233</v>
      </c>
      <c r="F68" s="85">
        <f t="shared" si="6"/>
        <v>-11.73943588</v>
      </c>
      <c r="G68" s="85">
        <f>(C68*(B68*Prof2-(1-B68)*Rent_Unsold)-Maint_P-IF(A68=1,OneTime_P,0))/10^7</f>
        <v>-2.797926357</v>
      </c>
      <c r="H68" s="85">
        <f t="shared" si="7"/>
        <v>-17.80682022</v>
      </c>
      <c r="I68" s="85">
        <f>(C68*(B68*Prof3-(1-B68)*Rent_Unsold)-Maint_P-IF(A68=1,OneTime_P,0))/10^7</f>
        <v>-4.21911548</v>
      </c>
      <c r="J68" s="85">
        <f t="shared" si="8"/>
        <v>-23.87420455</v>
      </c>
      <c r="K68" s="85">
        <f>D68*Reverse/10^7</f>
        <v>4.121448458</v>
      </c>
    </row>
    <row r="69">
      <c r="A69" s="84">
        <v>7.0</v>
      </c>
      <c r="B69" s="17">
        <f>IF(A69&lt;=12,ST_M1+(ST_M12-ST_M1)*(A69-1)/11,ST_M12+(ST_M36-ST_M12)*(A69-12)/24)</f>
        <v>0.1318181818</v>
      </c>
      <c r="C69" s="14">
        <f>Routed_M_P</f>
        <v>12025446.43</v>
      </c>
      <c r="D69" s="14">
        <f t="shared" si="5"/>
        <v>1585172.484</v>
      </c>
      <c r="E69" s="85">
        <f>(C69*(B69*Prof1-(1-B69)*Rent_Unsold)-Maint_P-IF(A69=1,OneTime_P,0))/10^7</f>
        <v>-1.212803068</v>
      </c>
      <c r="F69" s="85">
        <f t="shared" si="6"/>
        <v>-12.95223895</v>
      </c>
      <c r="G69" s="85">
        <f>(C69*(B69*Prof2-(1-B69)*Rent_Unsold)-Maint_P-IF(A69=1,OneTime_P,0))/10^7</f>
        <v>-2.797975552</v>
      </c>
      <c r="H69" s="85">
        <f t="shared" si="7"/>
        <v>-20.60479577</v>
      </c>
      <c r="I69" s="85">
        <f>(C69*(B69*Prof3-(1-B69)*Rent_Unsold)-Maint_P-IF(A69=1,OneTime_P,0))/10^7</f>
        <v>-4.383148036</v>
      </c>
      <c r="J69" s="85">
        <f t="shared" si="8"/>
        <v>-28.25735259</v>
      </c>
      <c r="K69" s="85">
        <f>D69*Reverse/10^7</f>
        <v>4.597000203</v>
      </c>
    </row>
    <row r="70">
      <c r="A70" s="84">
        <v>8.0</v>
      </c>
      <c r="B70" s="17">
        <f>IF(A70&lt;=12,ST_M1+(ST_M12-ST_M1)*(A70-1)/11,ST_M12+(ST_M36-ST_M12)*(A70-12)/24)</f>
        <v>0.1454545455</v>
      </c>
      <c r="C70" s="14">
        <f>Routed_M_P</f>
        <v>12025446.43</v>
      </c>
      <c r="D70" s="14">
        <f t="shared" si="5"/>
        <v>1749155.844</v>
      </c>
      <c r="E70" s="85">
        <f>(C70*(B70*Prof1-(1-B70)*Rent_Unsold)-Maint_P-IF(A70=1,OneTime_P,0))/10^7</f>
        <v>-1.048868903</v>
      </c>
      <c r="F70" s="85">
        <f t="shared" si="6"/>
        <v>-14.00110785</v>
      </c>
      <c r="G70" s="85">
        <f>(C70*(B70*Prof2-(1-B70)*Rent_Unsold)-Maint_P-IF(A70=1,OneTime_P,0))/10^7</f>
        <v>-2.798024747</v>
      </c>
      <c r="H70" s="85">
        <f t="shared" si="7"/>
        <v>-23.40282051</v>
      </c>
      <c r="I70" s="85">
        <f>(C70*(B70*Prof3-(1-B70)*Rent_Unsold)-Maint_P-IF(A70=1,OneTime_P,0))/10^7</f>
        <v>-4.547180591</v>
      </c>
      <c r="J70" s="85">
        <f t="shared" si="8"/>
        <v>-32.80453318</v>
      </c>
      <c r="K70" s="85">
        <f>D70*Reverse/10^7</f>
        <v>5.072551948</v>
      </c>
    </row>
    <row r="71">
      <c r="A71" s="84">
        <v>9.0</v>
      </c>
      <c r="B71" s="17">
        <f>IF(A71&lt;=12,ST_M1+(ST_M12-ST_M1)*(A71-1)/11,ST_M12+(ST_M36-ST_M12)*(A71-12)/24)</f>
        <v>0.1590909091</v>
      </c>
      <c r="C71" s="14">
        <f>Routed_M_P</f>
        <v>12025446.43</v>
      </c>
      <c r="D71" s="14">
        <f t="shared" si="5"/>
        <v>1913139.205</v>
      </c>
      <c r="E71" s="85">
        <f>(C71*(B71*Prof1-(1-B71)*Rent_Unsold)-Maint_P-IF(A71=1,OneTime_P,0))/10^7</f>
        <v>-0.8849347372</v>
      </c>
      <c r="F71" s="85">
        <f t="shared" si="6"/>
        <v>-14.88604259</v>
      </c>
      <c r="G71" s="85">
        <f>(C71*(B71*Prof2-(1-B71)*Rent_Unsold)-Maint_P-IF(A71=1,OneTime_P,0))/10^7</f>
        <v>-2.798073942</v>
      </c>
      <c r="H71" s="85">
        <f t="shared" si="7"/>
        <v>-26.20089446</v>
      </c>
      <c r="I71" s="85">
        <f>(C71*(B71*Prof3-(1-B71)*Rent_Unsold)-Maint_P-IF(A71=1,OneTime_P,0))/10^7</f>
        <v>-4.711213146</v>
      </c>
      <c r="J71" s="85">
        <f t="shared" si="8"/>
        <v>-37.51574632</v>
      </c>
      <c r="K71" s="85">
        <f>D71*Reverse/10^7</f>
        <v>5.548103693</v>
      </c>
    </row>
    <row r="72">
      <c r="A72" s="84">
        <v>10.0</v>
      </c>
      <c r="B72" s="17">
        <f>IF(A72&lt;=12,ST_M1+(ST_M12-ST_M1)*(A72-1)/11,ST_M12+(ST_M36-ST_M12)*(A72-12)/24)</f>
        <v>0.1727272727</v>
      </c>
      <c r="C72" s="14">
        <f>Routed_M_P</f>
        <v>12025446.43</v>
      </c>
      <c r="D72" s="14">
        <f t="shared" si="5"/>
        <v>2077122.565</v>
      </c>
      <c r="E72" s="85">
        <f>(C72*(B72*Prof1-(1-B72)*Rent_Unsold)-Maint_P-IF(A72=1,OneTime_P,0))/10^7</f>
        <v>-0.7210005718</v>
      </c>
      <c r="F72" s="85">
        <f t="shared" si="6"/>
        <v>-15.60704316</v>
      </c>
      <c r="G72" s="85">
        <f>(C72*(B72*Prof2-(1-B72)*Rent_Unsold)-Maint_P-IF(A72=1,OneTime_P,0))/10^7</f>
        <v>-2.798123137</v>
      </c>
      <c r="H72" s="85">
        <f t="shared" si="7"/>
        <v>-28.99901759</v>
      </c>
      <c r="I72" s="85">
        <f>(C72*(B72*Prof3-(1-B72)*Rent_Unsold)-Maint_P-IF(A72=1,OneTime_P,0))/10^7</f>
        <v>-4.875245702</v>
      </c>
      <c r="J72" s="85">
        <f t="shared" si="8"/>
        <v>-42.39099202</v>
      </c>
      <c r="K72" s="85">
        <f>D72*Reverse/10^7</f>
        <v>6.023655438</v>
      </c>
    </row>
    <row r="73">
      <c r="A73" s="84">
        <v>11.0</v>
      </c>
      <c r="B73" s="17">
        <f>IF(A73&lt;=12,ST_M1+(ST_M12-ST_M1)*(A73-1)/11,ST_M12+(ST_M36-ST_M12)*(A73-12)/24)</f>
        <v>0.1863636364</v>
      </c>
      <c r="C73" s="14">
        <f>Routed_M_P</f>
        <v>12025446.43</v>
      </c>
      <c r="D73" s="14">
        <f t="shared" si="5"/>
        <v>2241105.925</v>
      </c>
      <c r="E73" s="85">
        <f>(C73*(B73*Prof1-(1-B73)*Rent_Unsold)-Maint_P-IF(A73=1,OneTime_P,0))/10^7</f>
        <v>-0.5570664065</v>
      </c>
      <c r="F73" s="85">
        <f t="shared" si="6"/>
        <v>-16.16410957</v>
      </c>
      <c r="G73" s="85">
        <f>(C73*(B73*Prof2-(1-B73)*Rent_Unsold)-Maint_P-IF(A73=1,OneTime_P,0))/10^7</f>
        <v>-2.798172332</v>
      </c>
      <c r="H73" s="85">
        <f t="shared" si="7"/>
        <v>-31.79718992</v>
      </c>
      <c r="I73" s="85">
        <f>(C73*(B73*Prof3-(1-B73)*Rent_Unsold)-Maint_P-IF(A73=1,OneTime_P,0))/10^7</f>
        <v>-5.039278257</v>
      </c>
      <c r="J73" s="85">
        <f t="shared" si="8"/>
        <v>-47.43027028</v>
      </c>
      <c r="K73" s="85">
        <f>D73*Reverse/10^7</f>
        <v>6.499207183</v>
      </c>
    </row>
    <row r="74">
      <c r="A74" s="84">
        <v>12.0</v>
      </c>
      <c r="B74" s="17">
        <f>IF(A74&lt;=12,ST_M1+(ST_M12-ST_M1)*(A74-1)/11,ST_M12+(ST_M36-ST_M12)*(A74-12)/24)</f>
        <v>0.2</v>
      </c>
      <c r="C74" s="14">
        <f>Routed_M_P</f>
        <v>12025446.43</v>
      </c>
      <c r="D74" s="14">
        <f t="shared" si="5"/>
        <v>2405089.286</v>
      </c>
      <c r="E74" s="85">
        <f>(C74*(B74*Prof1-(1-B74)*Rent_Unsold)-Maint_P-IF(A74=1,OneTime_P,0))/10^7</f>
        <v>-0.3931322411</v>
      </c>
      <c r="F74" s="85">
        <f t="shared" si="6"/>
        <v>-16.55724181</v>
      </c>
      <c r="G74" s="85">
        <f>(C74*(B74*Prof2-(1-B74)*Rent_Unsold)-Maint_P-IF(A74=1,OneTime_P,0))/10^7</f>
        <v>-2.798221527</v>
      </c>
      <c r="H74" s="85">
        <f t="shared" si="7"/>
        <v>-34.59541145</v>
      </c>
      <c r="I74" s="85">
        <f>(C74*(B74*Prof3-(1-B74)*Rent_Unsold)-Maint_P-IF(A74=1,OneTime_P,0))/10^7</f>
        <v>-5.203310813</v>
      </c>
      <c r="J74" s="85">
        <f t="shared" si="8"/>
        <v>-52.63358109</v>
      </c>
      <c r="K74" s="85">
        <f>D74*Reverse/10^7</f>
        <v>6.974758929</v>
      </c>
    </row>
    <row r="75">
      <c r="A75" s="84">
        <v>13.0</v>
      </c>
      <c r="B75" s="17">
        <f>IF(A75&lt;=12,ST_M1+(ST_M12-ST_M1)*(A75-1)/11,ST_M12+(ST_M36-ST_M12)*(A75-12)/24)</f>
        <v>0.2072916667</v>
      </c>
      <c r="C75" s="14">
        <f>Routed_M_P</f>
        <v>12025446.43</v>
      </c>
      <c r="D75" s="14">
        <f t="shared" si="5"/>
        <v>2492774.833</v>
      </c>
      <c r="E75" s="85">
        <f>(C75*(B75*Prof1-(1-B75)*Rent_Unsold)-Maint_P-IF(A75=1,OneTime_P,0))/10^7</f>
        <v>-0.3054729999</v>
      </c>
      <c r="F75" s="85">
        <f t="shared" si="6"/>
        <v>-16.86271481</v>
      </c>
      <c r="G75" s="85">
        <f>(C75*(B75*Prof2-(1-B75)*Rent_Unsold)-Maint_P-IF(A75=1,OneTime_P,0))/10^7</f>
        <v>-2.798247832</v>
      </c>
      <c r="H75" s="85">
        <f t="shared" si="7"/>
        <v>-37.39365928</v>
      </c>
      <c r="I75" s="85">
        <f>(C75*(B75*Prof3-(1-B75)*Rent_Unsold)-Maint_P-IF(A75=1,OneTime_P,0))/10^7</f>
        <v>-5.291022665</v>
      </c>
      <c r="J75" s="85">
        <f t="shared" si="8"/>
        <v>-57.92460376</v>
      </c>
      <c r="K75" s="85">
        <f>D75*Reverse/10^7</f>
        <v>7.229047015</v>
      </c>
    </row>
    <row r="76">
      <c r="A76" s="84">
        <v>14.0</v>
      </c>
      <c r="B76" s="17">
        <f>IF(A76&lt;=12,ST_M1+(ST_M12-ST_M1)*(A76-1)/11,ST_M12+(ST_M36-ST_M12)*(A76-12)/24)</f>
        <v>0.2145833333</v>
      </c>
      <c r="C76" s="14">
        <f>Routed_M_P</f>
        <v>12025446.43</v>
      </c>
      <c r="D76" s="14">
        <f t="shared" si="5"/>
        <v>2580460.379</v>
      </c>
      <c r="E76" s="85">
        <f>(C76*(B76*Prof1-(1-B76)*Rent_Unsold)-Maint_P-IF(A76=1,OneTime_P,0))/10^7</f>
        <v>-0.2178137586</v>
      </c>
      <c r="F76" s="85">
        <f t="shared" si="6"/>
        <v>-17.08052857</v>
      </c>
      <c r="G76" s="85">
        <f>(C76*(B76*Prof2-(1-B76)*Rent_Unsold)-Maint_P-IF(A76=1,OneTime_P,0))/10^7</f>
        <v>-2.798274138</v>
      </c>
      <c r="H76" s="85">
        <f t="shared" si="7"/>
        <v>-40.19193342</v>
      </c>
      <c r="I76" s="85">
        <f>(C76*(B76*Prof3-(1-B76)*Rent_Unsold)-Maint_P-IF(A76=1,OneTime_P,0))/10^7</f>
        <v>-5.378734518</v>
      </c>
      <c r="J76" s="85">
        <f t="shared" si="8"/>
        <v>-63.30333828</v>
      </c>
      <c r="K76" s="85">
        <f>D76*Reverse/10^7</f>
        <v>7.4833351</v>
      </c>
    </row>
    <row r="77">
      <c r="A77" s="84">
        <v>15.0</v>
      </c>
      <c r="B77" s="17">
        <f>IF(A77&lt;=12,ST_M1+(ST_M12-ST_M1)*(A77-1)/11,ST_M12+(ST_M36-ST_M12)*(A77-12)/24)</f>
        <v>0.221875</v>
      </c>
      <c r="C77" s="14">
        <f>Routed_M_P</f>
        <v>12025446.43</v>
      </c>
      <c r="D77" s="14">
        <f t="shared" si="5"/>
        <v>2668145.926</v>
      </c>
      <c r="E77" s="85">
        <f>(C77*(B77*Prof1-(1-B77)*Rent_Unsold)-Maint_P-IF(A77=1,OneTime_P,0))/10^7</f>
        <v>-0.1301545174</v>
      </c>
      <c r="F77" s="85">
        <f t="shared" si="6"/>
        <v>-17.21068308</v>
      </c>
      <c r="G77" s="85">
        <f>(C77*(B77*Prof2-(1-B77)*Rent_Unsold)-Maint_P-IF(A77=1,OneTime_P,0))/10^7</f>
        <v>-2.798300444</v>
      </c>
      <c r="H77" s="85">
        <f t="shared" si="7"/>
        <v>-42.99023387</v>
      </c>
      <c r="I77" s="85">
        <f>(C77*(B77*Prof3-(1-B77)*Rent_Unsold)-Maint_P-IF(A77=1,OneTime_P,0))/10^7</f>
        <v>-5.46644637</v>
      </c>
      <c r="J77" s="85">
        <f t="shared" si="8"/>
        <v>-68.76978465</v>
      </c>
      <c r="K77" s="85">
        <f>D77*Reverse/10^7</f>
        <v>7.737623186</v>
      </c>
    </row>
    <row r="78">
      <c r="A78" s="84">
        <v>16.0</v>
      </c>
      <c r="B78" s="17">
        <f>IF(A78&lt;=12,ST_M1+(ST_M12-ST_M1)*(A78-1)/11,ST_M12+(ST_M36-ST_M12)*(A78-12)/24)</f>
        <v>0.2291666667</v>
      </c>
      <c r="C78" s="14">
        <f>Routed_M_P</f>
        <v>12025446.43</v>
      </c>
      <c r="D78" s="14">
        <f t="shared" si="5"/>
        <v>2755831.473</v>
      </c>
      <c r="E78" s="85">
        <f>(C78*(B78*Prof1-(1-B78)*Rent_Unsold)-Maint_P-IF(A78=1,OneTime_P,0))/10^7</f>
        <v>-0.04249527623</v>
      </c>
      <c r="F78" s="85">
        <f t="shared" si="6"/>
        <v>-17.25317836</v>
      </c>
      <c r="G78" s="85">
        <f>(C78*(B78*Prof2-(1-B78)*Rent_Unsold)-Maint_P-IF(A78=1,OneTime_P,0))/10^7</f>
        <v>-2.798326749</v>
      </c>
      <c r="H78" s="85">
        <f t="shared" si="7"/>
        <v>-45.78856061</v>
      </c>
      <c r="I78" s="85">
        <f>(C78*(B78*Prof3-(1-B78)*Rent_Unsold)-Maint_P-IF(A78=1,OneTime_P,0))/10^7</f>
        <v>-5.554158223</v>
      </c>
      <c r="J78" s="85">
        <f t="shared" si="8"/>
        <v>-74.32394287</v>
      </c>
      <c r="K78" s="85">
        <f>D78*Reverse/10^7</f>
        <v>7.991911272</v>
      </c>
    </row>
    <row r="79">
      <c r="A79" s="84">
        <v>17.0</v>
      </c>
      <c r="B79" s="17">
        <f>IF(A79&lt;=12,ST_M1+(ST_M12-ST_M1)*(A79-1)/11,ST_M12+(ST_M36-ST_M12)*(A79-12)/24)</f>
        <v>0.2364583333</v>
      </c>
      <c r="C79" s="14">
        <f>Routed_M_P</f>
        <v>12025446.43</v>
      </c>
      <c r="D79" s="14">
        <f t="shared" si="5"/>
        <v>2843517.02</v>
      </c>
      <c r="E79" s="85">
        <f>(C79*(B79*Prof1-(1-B79)*Rent_Unsold)-Maint_P-IF(A79=1,OneTime_P,0))/10^7</f>
        <v>0.04516396498</v>
      </c>
      <c r="F79" s="85">
        <f t="shared" si="6"/>
        <v>-17.2080144</v>
      </c>
      <c r="G79" s="85">
        <f>(C79*(B79*Prof2-(1-B79)*Rent_Unsold)-Maint_P-IF(A79=1,OneTime_P,0))/10^7</f>
        <v>-2.798353055</v>
      </c>
      <c r="H79" s="85">
        <f t="shared" si="7"/>
        <v>-48.58691367</v>
      </c>
      <c r="I79" s="85">
        <f>(C79*(B79*Prof3-(1-B79)*Rent_Unsold)-Maint_P-IF(A79=1,OneTime_P,0))/10^7</f>
        <v>-5.641870075</v>
      </c>
      <c r="J79" s="85">
        <f t="shared" si="8"/>
        <v>-79.96581294</v>
      </c>
      <c r="K79" s="85">
        <f>D79*Reverse/10^7</f>
        <v>8.246199358</v>
      </c>
    </row>
    <row r="80">
      <c r="A80" s="84">
        <v>18.0</v>
      </c>
      <c r="B80" s="17">
        <f>IF(A80&lt;=12,ST_M1+(ST_M12-ST_M1)*(A80-1)/11,ST_M12+(ST_M36-ST_M12)*(A80-12)/24)</f>
        <v>0.24375</v>
      </c>
      <c r="C80" s="14">
        <f>Routed_M_P</f>
        <v>12025446.43</v>
      </c>
      <c r="D80" s="14">
        <f t="shared" si="5"/>
        <v>2931202.567</v>
      </c>
      <c r="E80" s="85">
        <f>(C80*(B80*Prof1-(1-B80)*Rent_Unsold)-Maint_P-IF(A80=1,OneTime_P,0))/10^7</f>
        <v>0.1328232062</v>
      </c>
      <c r="F80" s="85">
        <f t="shared" si="6"/>
        <v>-17.07519119</v>
      </c>
      <c r="G80" s="85">
        <f>(C80*(B80*Prof2-(1-B80)*Rent_Unsold)-Maint_P-IF(A80=1,OneTime_P,0))/10^7</f>
        <v>-2.798379361</v>
      </c>
      <c r="H80" s="85">
        <f t="shared" si="7"/>
        <v>-51.38529303</v>
      </c>
      <c r="I80" s="85">
        <f>(C80*(B80*Prof3-(1-B80)*Rent_Unsold)-Maint_P-IF(A80=1,OneTime_P,0))/10^7</f>
        <v>-5.729581928</v>
      </c>
      <c r="J80" s="85">
        <f t="shared" si="8"/>
        <v>-85.69539487</v>
      </c>
      <c r="K80" s="85">
        <f>D80*Reverse/10^7</f>
        <v>8.500487444</v>
      </c>
    </row>
    <row r="81">
      <c r="A81" s="84">
        <v>19.0</v>
      </c>
      <c r="B81" s="17">
        <f>IF(A81&lt;=12,ST_M1+(ST_M12-ST_M1)*(A81-1)/11,ST_M12+(ST_M36-ST_M12)*(A81-12)/24)</f>
        <v>0.2510416667</v>
      </c>
      <c r="C81" s="14">
        <f>Routed_M_P</f>
        <v>12025446.43</v>
      </c>
      <c r="D81" s="14">
        <f t="shared" si="5"/>
        <v>3018888.114</v>
      </c>
      <c r="E81" s="85">
        <f>(C81*(B81*Prof1-(1-B81)*Rent_Unsold)-Maint_P-IF(A81=1,OneTime_P,0))/10^7</f>
        <v>0.2204824474</v>
      </c>
      <c r="F81" s="85">
        <f t="shared" si="6"/>
        <v>-16.85470874</v>
      </c>
      <c r="G81" s="85">
        <f>(C81*(B81*Prof2-(1-B81)*Rent_Unsold)-Maint_P-IF(A81=1,OneTime_P,0))/10^7</f>
        <v>-2.798405666</v>
      </c>
      <c r="H81" s="85">
        <f t="shared" si="7"/>
        <v>-54.1836987</v>
      </c>
      <c r="I81" s="85">
        <f>(C81*(B81*Prof3-(1-B81)*Rent_Unsold)-Maint_P-IF(A81=1,OneTime_P,0))/10^7</f>
        <v>-5.81729378</v>
      </c>
      <c r="J81" s="85">
        <f t="shared" si="8"/>
        <v>-91.51268865</v>
      </c>
      <c r="K81" s="85">
        <f>D81*Reverse/10^7</f>
        <v>8.75477553</v>
      </c>
    </row>
    <row r="82">
      <c r="A82" s="84">
        <v>20.0</v>
      </c>
      <c r="B82" s="17">
        <f>IF(A82&lt;=12,ST_M1+(ST_M12-ST_M1)*(A82-1)/11,ST_M12+(ST_M36-ST_M12)*(A82-12)/24)</f>
        <v>0.2583333333</v>
      </c>
      <c r="C82" s="14">
        <f>Routed_M_P</f>
        <v>12025446.43</v>
      </c>
      <c r="D82" s="14">
        <f t="shared" si="5"/>
        <v>3106573.661</v>
      </c>
      <c r="E82" s="85">
        <f>(C82*(B82*Prof1-(1-B82)*Rent_Unsold)-Maint_P-IF(A82=1,OneTime_P,0))/10^7</f>
        <v>0.3081416886</v>
      </c>
      <c r="F82" s="85">
        <f t="shared" si="6"/>
        <v>-16.54656705</v>
      </c>
      <c r="G82" s="85">
        <f>(C82*(B82*Prof2-(1-B82)*Rent_Unsold)-Maint_P-IF(A82=1,OneTime_P,0))/10^7</f>
        <v>-2.798431972</v>
      </c>
      <c r="H82" s="85">
        <f t="shared" si="7"/>
        <v>-56.98213067</v>
      </c>
      <c r="I82" s="85">
        <f>(C82*(B82*Prof3-(1-B82)*Rent_Unsold)-Maint_P-IF(A82=1,OneTime_P,0))/10^7</f>
        <v>-5.905005633</v>
      </c>
      <c r="J82" s="85">
        <f t="shared" si="8"/>
        <v>-97.41769429</v>
      </c>
      <c r="K82" s="85">
        <f>D82*Reverse/10^7</f>
        <v>9.009063616</v>
      </c>
    </row>
    <row r="83">
      <c r="A83" s="84">
        <v>21.0</v>
      </c>
      <c r="B83" s="17">
        <f>IF(A83&lt;=12,ST_M1+(ST_M12-ST_M1)*(A83-1)/11,ST_M12+(ST_M36-ST_M12)*(A83-12)/24)</f>
        <v>0.265625</v>
      </c>
      <c r="C83" s="14">
        <f>Routed_M_P</f>
        <v>12025446.43</v>
      </c>
      <c r="D83" s="14">
        <f t="shared" si="5"/>
        <v>3194259.208</v>
      </c>
      <c r="E83" s="85">
        <f>(C83*(B83*Prof1-(1-B83)*Rent_Unsold)-Maint_P-IF(A83=1,OneTime_P,0))/10^7</f>
        <v>0.3958009298</v>
      </c>
      <c r="F83" s="85">
        <f t="shared" si="6"/>
        <v>-16.15076612</v>
      </c>
      <c r="G83" s="85">
        <f>(C83*(B83*Prof2-(1-B83)*Rent_Unsold)-Maint_P-IF(A83=1,OneTime_P,0))/10^7</f>
        <v>-2.798458278</v>
      </c>
      <c r="H83" s="85">
        <f t="shared" si="7"/>
        <v>-59.78058895</v>
      </c>
      <c r="I83" s="85">
        <f>(C83*(B83*Prof3-(1-B83)*Rent_Unsold)-Maint_P-IF(A83=1,OneTime_P,0))/10^7</f>
        <v>-5.992717485</v>
      </c>
      <c r="J83" s="85">
        <f t="shared" si="8"/>
        <v>-103.4104118</v>
      </c>
      <c r="K83" s="85">
        <f>D83*Reverse/10^7</f>
        <v>9.263351702</v>
      </c>
    </row>
    <row r="84">
      <c r="A84" s="84">
        <v>22.0</v>
      </c>
      <c r="B84" s="17">
        <f>IF(A84&lt;=12,ST_M1+(ST_M12-ST_M1)*(A84-1)/11,ST_M12+(ST_M36-ST_M12)*(A84-12)/24)</f>
        <v>0.2729166667</v>
      </c>
      <c r="C84" s="14">
        <f>Routed_M_P</f>
        <v>12025446.43</v>
      </c>
      <c r="D84" s="14">
        <f t="shared" si="5"/>
        <v>3281944.754</v>
      </c>
      <c r="E84" s="85">
        <f>(C84*(B84*Prof1-(1-B84)*Rent_Unsold)-Maint_P-IF(A84=1,OneTime_P,0))/10^7</f>
        <v>0.483460171</v>
      </c>
      <c r="F84" s="85">
        <f t="shared" si="6"/>
        <v>-15.66730595</v>
      </c>
      <c r="G84" s="85">
        <f>(C84*(B84*Prof2-(1-B84)*Rent_Unsold)-Maint_P-IF(A84=1,OneTime_P,0))/10^7</f>
        <v>-2.798484583</v>
      </c>
      <c r="H84" s="85">
        <f t="shared" si="7"/>
        <v>-62.57907353</v>
      </c>
      <c r="I84" s="85">
        <f>(C84*(B84*Prof3-(1-B84)*Rent_Unsold)-Maint_P-IF(A84=1,OneTime_P,0))/10^7</f>
        <v>-6.080429338</v>
      </c>
      <c r="J84" s="85">
        <f t="shared" si="8"/>
        <v>-109.4908411</v>
      </c>
      <c r="K84" s="85">
        <f>D84*Reverse/10^7</f>
        <v>9.517639788</v>
      </c>
    </row>
    <row r="85">
      <c r="A85" s="84">
        <v>23.0</v>
      </c>
      <c r="B85" s="17">
        <f>IF(A85&lt;=12,ST_M1+(ST_M12-ST_M1)*(A85-1)/11,ST_M12+(ST_M36-ST_M12)*(A85-12)/24)</f>
        <v>0.2802083333</v>
      </c>
      <c r="C85" s="14">
        <f>Routed_M_P</f>
        <v>12025446.43</v>
      </c>
      <c r="D85" s="14">
        <f t="shared" si="5"/>
        <v>3369630.301</v>
      </c>
      <c r="E85" s="85">
        <f>(C85*(B85*Prof1-(1-B85)*Rent_Unsold)-Maint_P-IF(A85=1,OneTime_P,0))/10^7</f>
        <v>0.5711194122</v>
      </c>
      <c r="F85" s="85">
        <f t="shared" si="6"/>
        <v>-15.09618654</v>
      </c>
      <c r="G85" s="85">
        <f>(C85*(B85*Prof2-(1-B85)*Rent_Unsold)-Maint_P-IF(A85=1,OneTime_P,0))/10^7</f>
        <v>-2.798510889</v>
      </c>
      <c r="H85" s="85">
        <f t="shared" si="7"/>
        <v>-65.37758442</v>
      </c>
      <c r="I85" s="85">
        <f>(C85*(B85*Prof3-(1-B85)*Rent_Unsold)-Maint_P-IF(A85=1,OneTime_P,0))/10^7</f>
        <v>-6.16814119</v>
      </c>
      <c r="J85" s="85">
        <f t="shared" si="8"/>
        <v>-115.6589823</v>
      </c>
      <c r="K85" s="85">
        <f>D85*Reverse/10^7</f>
        <v>9.771927874</v>
      </c>
    </row>
    <row r="86">
      <c r="A86" s="84">
        <v>24.0</v>
      </c>
      <c r="B86" s="17">
        <f>IF(A86&lt;=12,ST_M1+(ST_M12-ST_M1)*(A86-1)/11,ST_M12+(ST_M36-ST_M12)*(A86-12)/24)</f>
        <v>0.2875</v>
      </c>
      <c r="C86" s="14">
        <f>Routed_M_P</f>
        <v>12025446.43</v>
      </c>
      <c r="D86" s="14">
        <f t="shared" si="5"/>
        <v>3457315.848</v>
      </c>
      <c r="E86" s="85">
        <f>(C86*(B86*Prof1-(1-B86)*Rent_Unsold)-Maint_P-IF(A86=1,OneTime_P,0))/10^7</f>
        <v>0.6587786535</v>
      </c>
      <c r="F86" s="85">
        <f t="shared" si="6"/>
        <v>-14.43740789</v>
      </c>
      <c r="G86" s="85">
        <f>(C86*(B86*Prof2-(1-B86)*Rent_Unsold)-Maint_P-IF(A86=1,OneTime_P,0))/10^7</f>
        <v>-2.798537195</v>
      </c>
      <c r="H86" s="85">
        <f t="shared" si="7"/>
        <v>-68.17612161</v>
      </c>
      <c r="I86" s="85">
        <f>(C86*(B86*Prof3-(1-B86)*Rent_Unsold)-Maint_P-IF(A86=1,OneTime_P,0))/10^7</f>
        <v>-6.255853043</v>
      </c>
      <c r="J86" s="85">
        <f t="shared" si="8"/>
        <v>-121.9148353</v>
      </c>
      <c r="K86" s="85">
        <f>D86*Reverse/10^7</f>
        <v>10.02621596</v>
      </c>
    </row>
    <row r="87">
      <c r="A87" s="84">
        <v>25.0</v>
      </c>
      <c r="B87" s="17">
        <f>IF(A87&lt;=12,ST_M1+(ST_M12-ST_M1)*(A87-1)/11,ST_M12+(ST_M36-ST_M12)*(A87-12)/24)</f>
        <v>0.2947916667</v>
      </c>
      <c r="C87" s="14">
        <f>Routed_M_P</f>
        <v>12025446.43</v>
      </c>
      <c r="D87" s="14">
        <f t="shared" si="5"/>
        <v>3545001.395</v>
      </c>
      <c r="E87" s="85">
        <f>(C87*(B87*Prof1-(1-B87)*Rent_Unsold)-Maint_P-IF(A87=1,OneTime_P,0))/10^7</f>
        <v>0.7464378947</v>
      </c>
      <c r="F87" s="85">
        <f t="shared" si="6"/>
        <v>-13.69096999</v>
      </c>
      <c r="G87" s="85">
        <f>(C87*(B87*Prof2-(1-B87)*Rent_Unsold)-Maint_P-IF(A87=1,OneTime_P,0))/10^7</f>
        <v>-2.7985635</v>
      </c>
      <c r="H87" s="85">
        <f t="shared" si="7"/>
        <v>-70.97468511</v>
      </c>
      <c r="I87" s="85">
        <f>(C87*(B87*Prof3-(1-B87)*Rent_Unsold)-Maint_P-IF(A87=1,OneTime_P,0))/10^7</f>
        <v>-6.343564896</v>
      </c>
      <c r="J87" s="85">
        <f t="shared" si="8"/>
        <v>-128.2584002</v>
      </c>
      <c r="K87" s="85">
        <f>D87*Reverse/10^7</f>
        <v>10.28050405</v>
      </c>
    </row>
    <row r="88">
      <c r="A88" s="84">
        <v>26.0</v>
      </c>
      <c r="B88" s="17">
        <f>IF(A88&lt;=12,ST_M1+(ST_M12-ST_M1)*(A88-1)/11,ST_M12+(ST_M36-ST_M12)*(A88-12)/24)</f>
        <v>0.3020833333</v>
      </c>
      <c r="C88" s="14">
        <f>Routed_M_P</f>
        <v>12025446.43</v>
      </c>
      <c r="D88" s="14">
        <f t="shared" si="5"/>
        <v>3632686.942</v>
      </c>
      <c r="E88" s="85">
        <f>(C88*(B88*Prof1-(1-B88)*Rent_Unsold)-Maint_P-IF(A88=1,OneTime_P,0))/10^7</f>
        <v>0.8340971359</v>
      </c>
      <c r="F88" s="85">
        <f t="shared" si="6"/>
        <v>-12.85687286</v>
      </c>
      <c r="G88" s="85">
        <f>(C88*(B88*Prof2-(1-B88)*Rent_Unsold)-Maint_P-IF(A88=1,OneTime_P,0))/10^7</f>
        <v>-2.798589806</v>
      </c>
      <c r="H88" s="85">
        <f t="shared" si="7"/>
        <v>-73.77327492</v>
      </c>
      <c r="I88" s="85">
        <f>(C88*(B88*Prof3-(1-B88)*Rent_Unsold)-Maint_P-IF(A88=1,OneTime_P,0))/10^7</f>
        <v>-6.431276748</v>
      </c>
      <c r="J88" s="85">
        <f t="shared" si="8"/>
        <v>-134.689677</v>
      </c>
      <c r="K88" s="85">
        <f>D88*Reverse/10^7</f>
        <v>10.53479213</v>
      </c>
    </row>
    <row r="89">
      <c r="A89" s="84">
        <v>27.0</v>
      </c>
      <c r="B89" s="17">
        <f>IF(A89&lt;=12,ST_M1+(ST_M12-ST_M1)*(A89-1)/11,ST_M12+(ST_M36-ST_M12)*(A89-12)/24)</f>
        <v>0.309375</v>
      </c>
      <c r="C89" s="14">
        <f>Routed_M_P</f>
        <v>12025446.43</v>
      </c>
      <c r="D89" s="14">
        <f t="shared" si="5"/>
        <v>3720372.489</v>
      </c>
      <c r="E89" s="85">
        <f>(C89*(B89*Prof1-(1-B89)*Rent_Unsold)-Maint_P-IF(A89=1,OneTime_P,0))/10^7</f>
        <v>0.9217563771</v>
      </c>
      <c r="F89" s="85">
        <f t="shared" si="6"/>
        <v>-11.93511648</v>
      </c>
      <c r="G89" s="85">
        <f>(C89*(B89*Prof2-(1-B89)*Rent_Unsold)-Maint_P-IF(A89=1,OneTime_P,0))/10^7</f>
        <v>-2.798616112</v>
      </c>
      <c r="H89" s="85">
        <f t="shared" si="7"/>
        <v>-76.57189103</v>
      </c>
      <c r="I89" s="85">
        <f>(C89*(B89*Prof3-(1-B89)*Rent_Unsold)-Maint_P-IF(A89=1,OneTime_P,0))/10^7</f>
        <v>-6.518988601</v>
      </c>
      <c r="J89" s="85">
        <f t="shared" si="8"/>
        <v>-141.2086656</v>
      </c>
      <c r="K89" s="85">
        <f>D89*Reverse/10^7</f>
        <v>10.78908022</v>
      </c>
    </row>
    <row r="90">
      <c r="A90" s="84">
        <v>28.0</v>
      </c>
      <c r="B90" s="17">
        <f>IF(A90&lt;=12,ST_M1+(ST_M12-ST_M1)*(A90-1)/11,ST_M12+(ST_M36-ST_M12)*(A90-12)/24)</f>
        <v>0.3166666667</v>
      </c>
      <c r="C90" s="14">
        <f>Routed_M_P</f>
        <v>12025446.43</v>
      </c>
      <c r="D90" s="14">
        <f t="shared" si="5"/>
        <v>3808058.036</v>
      </c>
      <c r="E90" s="85">
        <f>(C90*(B90*Prof1-(1-B90)*Rent_Unsold)-Maint_P-IF(A90=1,OneTime_P,0))/10^7</f>
        <v>1.009415618</v>
      </c>
      <c r="F90" s="85">
        <f t="shared" si="6"/>
        <v>-10.92570086</v>
      </c>
      <c r="G90" s="85">
        <f>(C90*(B90*Prof2-(1-B90)*Rent_Unsold)-Maint_P-IF(A90=1,OneTime_P,0))/10^7</f>
        <v>-2.798642417</v>
      </c>
      <c r="H90" s="85">
        <f t="shared" si="7"/>
        <v>-79.37053345</v>
      </c>
      <c r="I90" s="85">
        <f>(C90*(B90*Prof3-(1-B90)*Rent_Unsold)-Maint_P-IF(A90=1,OneTime_P,0))/10^7</f>
        <v>-6.606700453</v>
      </c>
      <c r="J90" s="85">
        <f t="shared" si="8"/>
        <v>-147.815366</v>
      </c>
      <c r="K90" s="85">
        <f>D90*Reverse/10^7</f>
        <v>11.0433683</v>
      </c>
    </row>
    <row r="91">
      <c r="A91" s="84">
        <v>29.0</v>
      </c>
      <c r="B91" s="17">
        <f>IF(A91&lt;=12,ST_M1+(ST_M12-ST_M1)*(A91-1)/11,ST_M12+(ST_M36-ST_M12)*(A91-12)/24)</f>
        <v>0.3239583333</v>
      </c>
      <c r="C91" s="14">
        <f>Routed_M_P</f>
        <v>12025446.43</v>
      </c>
      <c r="D91" s="14">
        <f t="shared" si="5"/>
        <v>3895743.583</v>
      </c>
      <c r="E91" s="85">
        <f>(C91*(B91*Prof1-(1-B91)*Rent_Unsold)-Maint_P-IF(A91=1,OneTime_P,0))/10^7</f>
        <v>1.09707486</v>
      </c>
      <c r="F91" s="85">
        <f t="shared" si="6"/>
        <v>-9.828626001</v>
      </c>
      <c r="G91" s="85">
        <f>(C91*(B91*Prof2-(1-B91)*Rent_Unsold)-Maint_P-IF(A91=1,OneTime_P,0))/10^7</f>
        <v>-2.798668723</v>
      </c>
      <c r="H91" s="85">
        <f t="shared" si="7"/>
        <v>-82.16920217</v>
      </c>
      <c r="I91" s="85">
        <f>(C91*(B91*Prof3-(1-B91)*Rent_Unsold)-Maint_P-IF(A91=1,OneTime_P,0))/10^7</f>
        <v>-6.694412306</v>
      </c>
      <c r="J91" s="85">
        <f t="shared" si="8"/>
        <v>-154.5097783</v>
      </c>
      <c r="K91" s="85">
        <f>D91*Reverse/10^7</f>
        <v>11.29765639</v>
      </c>
    </row>
    <row r="92">
      <c r="A92" s="84">
        <v>30.0</v>
      </c>
      <c r="B92" s="17">
        <f>IF(A92&lt;=12,ST_M1+(ST_M12-ST_M1)*(A92-1)/11,ST_M12+(ST_M36-ST_M12)*(A92-12)/24)</f>
        <v>0.33125</v>
      </c>
      <c r="C92" s="14">
        <f>Routed_M_P</f>
        <v>12025446.43</v>
      </c>
      <c r="D92" s="14">
        <f t="shared" si="5"/>
        <v>3983429.129</v>
      </c>
      <c r="E92" s="85">
        <f>(C92*(B92*Prof1-(1-B92)*Rent_Unsold)-Maint_P-IF(A92=1,OneTime_P,0))/10^7</f>
        <v>1.184734101</v>
      </c>
      <c r="F92" s="85">
        <f t="shared" si="6"/>
        <v>-8.6438919</v>
      </c>
      <c r="G92" s="85">
        <f>(C92*(B92*Prof2-(1-B92)*Rent_Unsold)-Maint_P-IF(A92=1,OneTime_P,0))/10^7</f>
        <v>-2.798695029</v>
      </c>
      <c r="H92" s="85">
        <f t="shared" si="7"/>
        <v>-84.9678972</v>
      </c>
      <c r="I92" s="85">
        <f>(C92*(B92*Prof3-(1-B92)*Rent_Unsold)-Maint_P-IF(A92=1,OneTime_P,0))/10^7</f>
        <v>-6.782124158</v>
      </c>
      <c r="J92" s="85">
        <f t="shared" si="8"/>
        <v>-161.2919025</v>
      </c>
      <c r="K92" s="85">
        <f>D92*Reverse/10^7</f>
        <v>11.55194448</v>
      </c>
    </row>
    <row r="93">
      <c r="A93" s="84">
        <v>31.0</v>
      </c>
      <c r="B93" s="17">
        <f>IF(A93&lt;=12,ST_M1+(ST_M12-ST_M1)*(A93-1)/11,ST_M12+(ST_M36-ST_M12)*(A93-12)/24)</f>
        <v>0.3385416667</v>
      </c>
      <c r="C93" s="14">
        <f>Routed_M_P</f>
        <v>12025446.43</v>
      </c>
      <c r="D93" s="14">
        <f t="shared" si="5"/>
        <v>4071114.676</v>
      </c>
      <c r="E93" s="85">
        <f>(C93*(B93*Prof1-(1-B93)*Rent_Unsold)-Maint_P-IF(A93=1,OneTime_P,0))/10^7</f>
        <v>1.272393342</v>
      </c>
      <c r="F93" s="85">
        <f t="shared" si="6"/>
        <v>-7.371498558</v>
      </c>
      <c r="G93" s="85">
        <f>(C93*(B93*Prof2-(1-B93)*Rent_Unsold)-Maint_P-IF(A93=1,OneTime_P,0))/10^7</f>
        <v>-2.798721334</v>
      </c>
      <c r="H93" s="85">
        <f t="shared" si="7"/>
        <v>-87.76661854</v>
      </c>
      <c r="I93" s="85">
        <f>(C93*(B93*Prof3-(1-B93)*Rent_Unsold)-Maint_P-IF(A93=1,OneTime_P,0))/10^7</f>
        <v>-6.869836011</v>
      </c>
      <c r="J93" s="85">
        <f t="shared" si="8"/>
        <v>-168.1617385</v>
      </c>
      <c r="K93" s="85">
        <f>D93*Reverse/10^7</f>
        <v>11.80623256</v>
      </c>
    </row>
    <row r="94">
      <c r="A94" s="84">
        <v>32.0</v>
      </c>
      <c r="B94" s="17">
        <f>IF(A94&lt;=12,ST_M1+(ST_M12-ST_M1)*(A94-1)/11,ST_M12+(ST_M36-ST_M12)*(A94-12)/24)</f>
        <v>0.3458333333</v>
      </c>
      <c r="C94" s="14">
        <f>Routed_M_P</f>
        <v>12025446.43</v>
      </c>
      <c r="D94" s="14">
        <f t="shared" si="5"/>
        <v>4158800.223</v>
      </c>
      <c r="E94" s="85">
        <f>(C94*(B94*Prof1-(1-B94)*Rent_Unsold)-Maint_P-IF(A94=1,OneTime_P,0))/10^7</f>
        <v>1.360052583</v>
      </c>
      <c r="F94" s="85">
        <f t="shared" si="6"/>
        <v>-6.011445975</v>
      </c>
      <c r="G94" s="85">
        <f>(C94*(B94*Prof2-(1-B94)*Rent_Unsold)-Maint_P-IF(A94=1,OneTime_P,0))/10^7</f>
        <v>-2.79874764</v>
      </c>
      <c r="H94" s="85">
        <f t="shared" si="7"/>
        <v>-90.56536618</v>
      </c>
      <c r="I94" s="85">
        <f>(C94*(B94*Prof3-(1-B94)*Rent_Unsold)-Maint_P-IF(A94=1,OneTime_P,0))/10^7</f>
        <v>-6.957547863</v>
      </c>
      <c r="J94" s="85">
        <f t="shared" si="8"/>
        <v>-175.1192864</v>
      </c>
      <c r="K94" s="85">
        <f>D94*Reverse/10^7</f>
        <v>12.06052065</v>
      </c>
    </row>
    <row r="95">
      <c r="A95" s="84">
        <v>33.0</v>
      </c>
      <c r="B95" s="17">
        <f>IF(A95&lt;=12,ST_M1+(ST_M12-ST_M1)*(A95-1)/11,ST_M12+(ST_M36-ST_M12)*(A95-12)/24)</f>
        <v>0.353125</v>
      </c>
      <c r="C95" s="14">
        <f>Routed_M_P</f>
        <v>12025446.43</v>
      </c>
      <c r="D95" s="14">
        <f t="shared" si="5"/>
        <v>4246485.77</v>
      </c>
      <c r="E95" s="85">
        <f>(C95*(B95*Prof1-(1-B95)*Rent_Unsold)-Maint_P-IF(A95=1,OneTime_P,0))/10^7</f>
        <v>1.447711824</v>
      </c>
      <c r="F95" s="85">
        <f t="shared" si="6"/>
        <v>-4.563734151</v>
      </c>
      <c r="G95" s="85">
        <f>(C95*(B95*Prof2-(1-B95)*Rent_Unsold)-Maint_P-IF(A95=1,OneTime_P,0))/10^7</f>
        <v>-2.798773946</v>
      </c>
      <c r="H95" s="85">
        <f t="shared" si="7"/>
        <v>-93.36414012</v>
      </c>
      <c r="I95" s="85">
        <f>(C95*(B95*Prof3-(1-B95)*Rent_Unsold)-Maint_P-IF(A95=1,OneTime_P,0))/10^7</f>
        <v>-7.045259716</v>
      </c>
      <c r="J95" s="85">
        <f t="shared" si="8"/>
        <v>-182.1645461</v>
      </c>
      <c r="K95" s="85">
        <f>D95*Reverse/10^7</f>
        <v>12.31480873</v>
      </c>
    </row>
    <row r="96">
      <c r="A96" s="84">
        <v>34.0</v>
      </c>
      <c r="B96" s="17">
        <f>IF(A96&lt;=12,ST_M1+(ST_M12-ST_M1)*(A96-1)/11,ST_M12+(ST_M36-ST_M12)*(A96-12)/24)</f>
        <v>0.3604166667</v>
      </c>
      <c r="C96" s="14">
        <f>Routed_M_P</f>
        <v>12025446.43</v>
      </c>
      <c r="D96" s="14">
        <f t="shared" si="5"/>
        <v>4334171.317</v>
      </c>
      <c r="E96" s="85">
        <f>(C96*(B96*Prof1-(1-B96)*Rent_Unsold)-Maint_P-IF(A96=1,OneTime_P,0))/10^7</f>
        <v>1.535371066</v>
      </c>
      <c r="F96" s="85">
        <f t="shared" si="6"/>
        <v>-3.028363085</v>
      </c>
      <c r="G96" s="85">
        <f>(C96*(B96*Prof2-(1-B96)*Rent_Unsold)-Maint_P-IF(A96=1,OneTime_P,0))/10^7</f>
        <v>-2.798800251</v>
      </c>
      <c r="H96" s="85">
        <f t="shared" si="7"/>
        <v>-96.16294037</v>
      </c>
      <c r="I96" s="85">
        <f>(C96*(B96*Prof3-(1-B96)*Rent_Unsold)-Maint_P-IF(A96=1,OneTime_P,0))/10^7</f>
        <v>-7.132971568</v>
      </c>
      <c r="J96" s="85">
        <f t="shared" si="8"/>
        <v>-189.2975177</v>
      </c>
      <c r="K96" s="85">
        <f>D96*Reverse/10^7</f>
        <v>12.56909682</v>
      </c>
    </row>
    <row r="97">
      <c r="A97" s="84">
        <v>35.0</v>
      </c>
      <c r="B97" s="17">
        <f>IF(A97&lt;=12,ST_M1+(ST_M12-ST_M1)*(A97-1)/11,ST_M12+(ST_M36-ST_M12)*(A97-12)/24)</f>
        <v>0.3677083333</v>
      </c>
      <c r="C97" s="14">
        <f>Routed_M_P</f>
        <v>12025446.43</v>
      </c>
      <c r="D97" s="14">
        <f t="shared" si="5"/>
        <v>4421856.864</v>
      </c>
      <c r="E97" s="85">
        <f>(C97*(B97*Prof1-(1-B97)*Rent_Unsold)-Maint_P-IF(A97=1,OneTime_P,0))/10^7</f>
        <v>1.623030307</v>
      </c>
      <c r="F97" s="85">
        <f t="shared" si="6"/>
        <v>-1.405332778</v>
      </c>
      <c r="G97" s="85">
        <f>(C97*(B97*Prof2-(1-B97)*Rent_Unsold)-Maint_P-IF(A97=1,OneTime_P,0))/10^7</f>
        <v>-2.798826557</v>
      </c>
      <c r="H97" s="85">
        <f t="shared" si="7"/>
        <v>-98.96176693</v>
      </c>
      <c r="I97" s="85">
        <f>(C97*(B97*Prof3-(1-B97)*Rent_Unsold)-Maint_P-IF(A97=1,OneTime_P,0))/10^7</f>
        <v>-7.220683421</v>
      </c>
      <c r="J97" s="85">
        <f t="shared" si="8"/>
        <v>-196.5182011</v>
      </c>
      <c r="K97" s="85">
        <f>D97*Reverse/10^7</f>
        <v>12.82338491</v>
      </c>
    </row>
    <row r="98">
      <c r="A98" s="84">
        <v>36.0</v>
      </c>
      <c r="B98" s="17">
        <f>IF(A98&lt;=12,ST_M1+(ST_M12-ST_M1)*(A98-1)/11,ST_M12+(ST_M36-ST_M12)*(A98-12)/24)</f>
        <v>0.375</v>
      </c>
      <c r="C98" s="14">
        <f>Routed_M_P</f>
        <v>12025446.43</v>
      </c>
      <c r="D98" s="14">
        <f t="shared" si="5"/>
        <v>4509542.411</v>
      </c>
      <c r="E98" s="85">
        <f>(C98*(B98*Prof1-(1-B98)*Rent_Unsold)-Maint_P-IF(A98=1,OneTime_P,0))/10^7</f>
        <v>1.710689548</v>
      </c>
      <c r="F98" s="85">
        <f t="shared" si="6"/>
        <v>0.3053567695</v>
      </c>
      <c r="G98" s="85">
        <f>(C98*(B98*Prof2-(1-B98)*Rent_Unsold)-Maint_P-IF(A98=1,OneTime_P,0))/10^7</f>
        <v>-2.798852863</v>
      </c>
      <c r="H98" s="85">
        <f t="shared" si="7"/>
        <v>-101.7606198</v>
      </c>
      <c r="I98" s="85">
        <f>(C98*(B98*Prof3-(1-B98)*Rent_Unsold)-Maint_P-IF(A98=1,OneTime_P,0))/10^7</f>
        <v>-7.308395273</v>
      </c>
      <c r="J98" s="85">
        <f t="shared" si="8"/>
        <v>-203.8265964</v>
      </c>
      <c r="K98" s="85">
        <f>D98*Reverse/10^7</f>
        <v>13.07767299</v>
      </c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>
      <c r="A100" s="52" t="s">
        <v>358</v>
      </c>
      <c r="B100" s="10"/>
      <c r="C100" s="10"/>
      <c r="D100" s="10"/>
      <c r="E100" s="10"/>
    </row>
    <row r="101">
      <c r="A101" s="13"/>
      <c r="B101" s="8" t="s">
        <v>170</v>
      </c>
      <c r="C101" s="8" t="s">
        <v>171</v>
      </c>
      <c r="D101" s="8" t="s">
        <v>268</v>
      </c>
      <c r="E101" s="8" t="s">
        <v>269</v>
      </c>
    </row>
    <row r="102">
      <c r="A102" s="12" t="s">
        <v>270</v>
      </c>
      <c r="B102" s="17">
        <f>AVERAGE(B63:B74)</f>
        <v>0.125</v>
      </c>
      <c r="C102" s="17">
        <f>AVERAGE(B75:B86)</f>
        <v>0.2473958333</v>
      </c>
      <c r="D102" s="17">
        <f>AVERAGE(B87:B98)</f>
        <v>0.3348958333</v>
      </c>
      <c r="E102" s="20"/>
    </row>
    <row r="103">
      <c r="A103" s="12" t="s">
        <v>359</v>
      </c>
      <c r="B103" s="81">
        <f>SUM(D63:D74)/10^5</f>
        <v>180.3816964</v>
      </c>
      <c r="C103" s="81">
        <f>SUM(D75:D86)/10^5</f>
        <v>357.0054408</v>
      </c>
      <c r="D103" s="81">
        <f>SUM(D87:D98)/10^5</f>
        <v>483.2726283</v>
      </c>
      <c r="E103" s="81">
        <f>SUM(D63:D98)/10^5</f>
        <v>1020.659766</v>
      </c>
    </row>
    <row r="104">
      <c r="A104" s="44" t="s">
        <v>360</v>
      </c>
      <c r="B104" s="27">
        <f>SUM(E63:E74)</f>
        <v>-16.55724181</v>
      </c>
      <c r="C104" s="27">
        <f>SUM(E75:E86)</f>
        <v>2.119833922</v>
      </c>
      <c r="D104" s="27">
        <f>SUM(E87:E98)</f>
        <v>14.74276466</v>
      </c>
      <c r="E104" s="27">
        <f>SUM(E63:E98)</f>
        <v>0.3053567695</v>
      </c>
    </row>
    <row r="105">
      <c r="A105" s="44" t="s">
        <v>361</v>
      </c>
      <c r="B105" s="27">
        <f>SUM(G63:G74)</f>
        <v>-34.59541145</v>
      </c>
      <c r="C105" s="27">
        <f>SUM(G75:G86)</f>
        <v>-33.58071016</v>
      </c>
      <c r="D105" s="27">
        <f>SUM(G87:G98)</f>
        <v>-33.58449818</v>
      </c>
      <c r="E105" s="27">
        <f>SUM(G63:G98)</f>
        <v>-101.7606198</v>
      </c>
    </row>
    <row r="106">
      <c r="A106" s="44" t="s">
        <v>362</v>
      </c>
      <c r="B106" s="27">
        <f>SUM(I63:I74)</f>
        <v>-52.63358109</v>
      </c>
      <c r="C106" s="27">
        <f>SUM(I75:I86)</f>
        <v>-69.28125425</v>
      </c>
      <c r="D106" s="27">
        <f>SUM(I87:I98)</f>
        <v>-81.91176101</v>
      </c>
      <c r="E106" s="27">
        <f>SUM(I63:I98)</f>
        <v>-203.8265964</v>
      </c>
    </row>
    <row r="107">
      <c r="A107" s="12" t="s">
        <v>363</v>
      </c>
      <c r="B107" s="85">
        <f>SUM(K63:K74)</f>
        <v>52.31069196</v>
      </c>
      <c r="C107" s="85">
        <f>SUM(K75:K86)</f>
        <v>103.5315778</v>
      </c>
      <c r="D107" s="85">
        <f>SUM(K87:K98)</f>
        <v>140.1490622</v>
      </c>
      <c r="E107" s="85">
        <f>SUM(K63:K98)</f>
        <v>295.991332</v>
      </c>
    </row>
    <row r="108">
      <c r="A108" s="44" t="s">
        <v>364</v>
      </c>
      <c r="B108" s="51">
        <f>IF(F98&lt;0,"Beyond 36",COUNTIF(F63:F98,"&lt;0")+1)</f>
        <v>36</v>
      </c>
      <c r="C108" s="51" t="str">
        <f>IF(H98&lt;0,"Beyond 36",COUNTIF(H63:H98,"&lt;0")+1)</f>
        <v>Beyond 36</v>
      </c>
      <c r="D108" s="51" t="str">
        <f>IF(J98&lt;0,"Beyond 36",COUNTIF(J63:J98,"&lt;0")+1)</f>
        <v>Beyond 36</v>
      </c>
      <c r="E108" s="20"/>
    </row>
    <row r="109">
      <c r="A109" s="12" t="s">
        <v>365</v>
      </c>
      <c r="B109" s="35">
        <f>Prof1</f>
        <v>7.720577236</v>
      </c>
      <c r="C109" s="35">
        <f>Prof2</f>
        <v>-2.279422764</v>
      </c>
      <c r="D109" s="35">
        <f>Prof3</f>
        <v>-12.27942276</v>
      </c>
      <c r="E109" s="20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>
      <c r="A111" s="52" t="s">
        <v>366</v>
      </c>
      <c r="B111" s="10"/>
      <c r="C111" s="10"/>
      <c r="D111" s="10"/>
    </row>
    <row r="112">
      <c r="A112" s="13" t="s">
        <v>367</v>
      </c>
      <c r="B112" s="8" t="s">
        <v>233</v>
      </c>
      <c r="C112" s="8" t="s">
        <v>234</v>
      </c>
      <c r="D112" s="8" t="s">
        <v>235</v>
      </c>
    </row>
    <row r="113">
      <c r="A113" s="88" t="s">
        <v>368</v>
      </c>
      <c r="B113" s="35">
        <f>Prof1</f>
        <v>7.720577236</v>
      </c>
      <c r="C113" s="35">
        <f>Prof2</f>
        <v>-2.279422764</v>
      </c>
      <c r="D113" s="35">
        <f>Prof3</f>
        <v>-12.27942276</v>
      </c>
    </row>
    <row r="114">
      <c r="A114" s="88" t="s">
        <v>369</v>
      </c>
      <c r="B114" s="17">
        <f>ST_M36</f>
        <v>0.375</v>
      </c>
      <c r="C114" s="17">
        <f>ST_M36</f>
        <v>0.375</v>
      </c>
      <c r="D114" s="17">
        <f>ST_M36</f>
        <v>0.375</v>
      </c>
    </row>
    <row r="115">
      <c r="A115" s="89" t="s">
        <v>370</v>
      </c>
      <c r="B115" s="50">
        <f>IF(Prof1+Rent_Unsold&lt;=0,"Never",IF((Rent_Unsold+Maint_P/Routed_M_P)/(Prof1+Rent_Unsold)&gt;1,"Above 100%",(Rent_Unsold+Maint_P/Routed_M_P)/(Prof1+Rent_Unsold)))</f>
        <v>0.2327015066</v>
      </c>
      <c r="C115" s="50" t="str">
        <f>IF(Prof2+Rent_Unsold&lt;=0,"Never",IF((Rent_Unsold+Maint_P/Routed_M_P)/(Prof2+Rent_Unsold)&gt;1,"Above 100%",(Rent_Unsold+Maint_P/Routed_M_P)/(Prof2+Rent_Unsold)))</f>
        <v>Never</v>
      </c>
      <c r="D115" s="50" t="str">
        <f>IF(Prof3+Rent_Unsold&lt;=0,"Never",IF((Rent_Unsold+Maint_P/Routed_M_P)/(Prof3+Rent_Unsold)&gt;1,"Above 100%",(Rent_Unsold+Maint_P/Routed_M_P)/(Prof3+Rent_Unsold)))</f>
        <v>Never</v>
      </c>
    </row>
    <row r="116">
      <c r="A116" s="89" t="s">
        <v>371</v>
      </c>
      <c r="B116" s="43">
        <f>IF(COUNTIF($D$224:$D$343,"&gt;0")=0,"Beyond 120",COUNTIF($D$224:$D$343,"&lt;=0")+1)</f>
        <v>17</v>
      </c>
      <c r="C116" s="43" t="str">
        <f>IF(COUNTIF($E$224:$E$343,"&gt;0")=0,"Beyond 120",COUNTIF($E$224:$E$343,"&lt;=0")+1)</f>
        <v>Beyond 120</v>
      </c>
      <c r="D116" s="43" t="str">
        <f>IF(COUNTIF($F$224:$F$343,"&gt;0")=0,"Beyond 120",COUNTIF($F$224:$F$343,"&lt;=0")+1)</f>
        <v>Beyond 120</v>
      </c>
    </row>
    <row r="117">
      <c r="A117" s="88" t="s">
        <v>372</v>
      </c>
      <c r="B117" s="76" t="str">
        <f t="shared" ref="B117:D117" si="9">IF(ISNUMBER(B116),"Year "&amp;(INT((B116-1)/12)+1)&amp;", month "&amp;(MOD(B116-1,12)+1),"–")</f>
        <v>Year 2, month 5</v>
      </c>
      <c r="C117" s="76" t="str">
        <f t="shared" si="9"/>
        <v>–</v>
      </c>
      <c r="D117" s="76" t="str">
        <f t="shared" si="9"/>
        <v>–</v>
      </c>
    </row>
    <row r="118">
      <c r="A118" s="89" t="s">
        <v>373</v>
      </c>
      <c r="B118" s="43">
        <f>IF(MAX($G$224:$G$343)&lt;0,"Beyond 120",COUNTIF($G$224:$G$343,"&lt;0")+1)</f>
        <v>36</v>
      </c>
      <c r="C118" s="43" t="str">
        <f>IF(MAX($H$224:$H$343)&lt;0,"Beyond 120",COUNTIF($H$224:$H$343,"&lt;0")+1)</f>
        <v>Beyond 120</v>
      </c>
      <c r="D118" s="43" t="str">
        <f>IF(MAX($I$224:$I$343)&lt;0,"Beyond 120",COUNTIF($I$224:$I$343,"&lt;0")+1)</f>
        <v>Beyond 120</v>
      </c>
    </row>
    <row r="119">
      <c r="A119" s="88" t="s">
        <v>372</v>
      </c>
      <c r="B119" s="76" t="str">
        <f t="shared" ref="B119:D119" si="10">IF(ISNUMBER(B118),"Year "&amp;(INT((B118-1)/12)+1)&amp;", month "&amp;(MOD(B118-1,12)+1),"–")</f>
        <v>Year 3, month 12</v>
      </c>
      <c r="C119" s="76" t="str">
        <f t="shared" si="10"/>
        <v>–</v>
      </c>
      <c r="D119" s="76" t="str">
        <f t="shared" si="10"/>
        <v>–</v>
      </c>
    </row>
    <row r="120">
      <c r="A120" s="88" t="s">
        <v>374</v>
      </c>
      <c r="B120" s="85">
        <f>MIN($G$224:$G$343)</f>
        <v>-17.25317836</v>
      </c>
      <c r="C120" s="85">
        <f>MIN($H$224:$H$343)</f>
        <v>-336.8642603</v>
      </c>
      <c r="D120" s="85">
        <f>MIN($I$224:$I$343)</f>
        <v>-817.7317993</v>
      </c>
    </row>
    <row r="121">
      <c r="A121" s="88" t="s">
        <v>375</v>
      </c>
      <c r="B121" s="14">
        <f>MATCH(MIN($G$224:$G$343),$G$224:$G$343,0)</f>
        <v>16</v>
      </c>
      <c r="C121" s="14">
        <f>MATCH(MIN($H$224:$H$343),$H$224:$H$343,0)</f>
        <v>120</v>
      </c>
      <c r="D121" s="14">
        <f>MATCH(MIN($I$224:$I$343),$I$224:$I$343,0)</f>
        <v>120</v>
      </c>
    </row>
    <row r="122">
      <c r="A122" s="88" t="s">
        <v>376</v>
      </c>
      <c r="B122" s="85">
        <f t="array" ref="B122">INDEX($G$224:$G$343,120)</f>
        <v>144.0032788</v>
      </c>
      <c r="C122" s="85">
        <f t="array" ref="C122">INDEX($H$224:$H$343,120)</f>
        <v>-336.8642603</v>
      </c>
      <c r="D122" s="85">
        <f t="array" ref="D122">INDEX($I$224:$I$343,120)</f>
        <v>-817.7317993</v>
      </c>
    </row>
    <row r="123">
      <c r="A123" s="13" t="s">
        <v>377</v>
      </c>
      <c r="B123" s="8" t="s">
        <v>233</v>
      </c>
      <c r="C123" s="8" t="s">
        <v>234</v>
      </c>
      <c r="D123" s="8" t="s">
        <v>235</v>
      </c>
    </row>
    <row r="124">
      <c r="A124" s="88" t="s">
        <v>378</v>
      </c>
      <c r="B124" s="90">
        <v>1.0</v>
      </c>
      <c r="C124" s="20"/>
      <c r="D124" s="20"/>
    </row>
    <row r="125">
      <c r="A125" s="88" t="s">
        <v>379</v>
      </c>
      <c r="B125" s="35">
        <f>Reverse+Leg_Other*$B$124</f>
        <v>120</v>
      </c>
      <c r="C125" s="35">
        <f>Reverse+Leg_Other*$B$124</f>
        <v>120</v>
      </c>
      <c r="D125" s="35">
        <f>Reverse+Leg_Other*$B$124</f>
        <v>120</v>
      </c>
    </row>
    <row r="126">
      <c r="A126" s="89" t="s">
        <v>370</v>
      </c>
      <c r="B126" s="50">
        <f>IF(Prof1+RTO_Avoid_Sale+Rent_Unsold&lt;=0,"Never",IF((Rent_Unsold+Maint_P/Routed_M_P)/(Prof1+RTO_Avoid_Sale+Rent_Unsold)&gt;1,"Above 100%",(Rent_Unsold+Maint_P/Routed_M_P)/(Prof1+RTO_Avoid_Sale+Rent_Unsold)))</f>
        <v>0.01789515883</v>
      </c>
      <c r="C126" s="50">
        <f>IF(Prof2+RTO_Avoid_Sale+Rent_Unsold&lt;=0,"Never",IF((Rent_Unsold+Maint_P/Routed_M_P)/(Prof2+RTO_Avoid_Sale+Rent_Unsold)&gt;1,"Above 100%",(Rent_Unsold+Maint_P/Routed_M_P)/(Prof2+RTO_Avoid_Sale+Rent_Unsold)))</f>
        <v>0.01938645934</v>
      </c>
      <c r="D126" s="50">
        <f>IF(Prof3+RTO_Avoid_Sale+Rent_Unsold&lt;=0,"Never",IF((Rent_Unsold+Maint_P/Routed_M_P)/(Prof3+RTO_Avoid_Sale+Rent_Unsold)&gt;1,"Above 100%",(Rent_Unsold+Maint_P/Routed_M_P)/(Prof3+RTO_Avoid_Sale+Rent_Unsold)))</f>
        <v>0.0211489128</v>
      </c>
    </row>
    <row r="127">
      <c r="A127" s="89" t="s">
        <v>371</v>
      </c>
      <c r="B127" s="43">
        <f>IF(SUMPRODUCT(--($D$224:$D$343+Routed_M_P*$B$224:$B$343*RTO_Avoid_Sale/10^7&gt;0))=0,"Beyond 120",SUMPRODUCT(--($D$224:$D$343+Routed_M_P*$B$224:$B$343*RTO_Avoid_Sale/10^7&lt;=0))+1)</f>
        <v>1</v>
      </c>
      <c r="C127" s="43">
        <f>IF(SUMPRODUCT(--($E$224:$E$343+Routed_M_P*$B$224:$B$343*RTO_Avoid_Sale/10^7&gt;0))=0,"Beyond 120",SUMPRODUCT(--($E$224:$E$343+Routed_M_P*$B$224:$B$343*RTO_Avoid_Sale/10^7&lt;=0))+1)</f>
        <v>1</v>
      </c>
      <c r="D127" s="43">
        <f>IF(SUMPRODUCT(--($F$224:$F$343+Routed_M_P*$B$224:$B$343*RTO_Avoid_Sale/10^7&gt;0))=0,"Beyond 120",SUMPRODUCT(--($F$224:$F$343+Routed_M_P*$B$224:$B$343*RTO_Avoid_Sale/10^7&lt;=0))+1)</f>
        <v>1</v>
      </c>
    </row>
    <row r="128">
      <c r="A128" s="88" t="s">
        <v>372</v>
      </c>
      <c r="B128" s="76" t="str">
        <f t="shared" ref="B128:D128" si="11">IF(ISNUMBER(B127),"Year "&amp;(INT((B127-1)/12)+1)&amp;", month "&amp;(MOD(B127-1,12)+1),"–")</f>
        <v>Year 1, month 1</v>
      </c>
      <c r="C128" s="76" t="str">
        <f t="shared" si="11"/>
        <v>Year 1, month 1</v>
      </c>
      <c r="D128" s="76" t="str">
        <f t="shared" si="11"/>
        <v>Year 1, month 1</v>
      </c>
    </row>
    <row r="129">
      <c r="A129" s="89" t="s">
        <v>373</v>
      </c>
      <c r="B129" s="43">
        <f>IF(MAX($J$224:$J$343)&lt;0,"Beyond 120",COUNTIF($J$224:$J$343,"&lt;0")+1)</f>
        <v>1</v>
      </c>
      <c r="C129" s="43">
        <f>IF(MAX($K$224:$K$343)&lt;0,"Beyond 120",COUNTIF($K$224:$K$343,"&lt;0")+1)</f>
        <v>1</v>
      </c>
      <c r="D129" s="43">
        <f>IF(MAX($L$224:$L$343)&lt;0,"Beyond 120",COUNTIF($L$224:$L$343,"&lt;0")+1)</f>
        <v>1</v>
      </c>
    </row>
    <row r="130">
      <c r="A130" s="88" t="s">
        <v>372</v>
      </c>
      <c r="B130" s="76" t="str">
        <f t="shared" ref="B130:D130" si="12">IF(ISNUMBER(B129),"Year "&amp;(INT((B129-1)/12)+1)&amp;", month "&amp;(MOD(B129-1,12)+1),"–")</f>
        <v>Year 1, month 1</v>
      </c>
      <c r="C130" s="76" t="str">
        <f t="shared" si="12"/>
        <v>Year 1, month 1</v>
      </c>
      <c r="D130" s="76" t="str">
        <f t="shared" si="12"/>
        <v>Year 1, month 1</v>
      </c>
    </row>
    <row r="131">
      <c r="A131" s="88" t="s">
        <v>380</v>
      </c>
      <c r="B131" s="85">
        <f>MIN($J$224:$J$343)</f>
        <v>3.998859797</v>
      </c>
      <c r="C131" s="85">
        <f>MIN($K$224:$K$343)</f>
        <v>3.397587475</v>
      </c>
      <c r="D131" s="85">
        <f>MIN($L$224:$L$343)</f>
        <v>2.796315154</v>
      </c>
    </row>
    <row r="132">
      <c r="A132" s="88" t="s">
        <v>375</v>
      </c>
      <c r="B132" s="14">
        <f>MATCH(MIN($J$224:$J$343),$J$224:$J$343,0)</f>
        <v>1</v>
      </c>
      <c r="C132" s="14">
        <f>MATCH(MIN($K$224:$K$343),$K$224:$K$343,0)</f>
        <v>1</v>
      </c>
      <c r="D132" s="14">
        <f>MATCH(MIN($L$224:$L$343),$L$224:$L$343,0)</f>
        <v>1</v>
      </c>
    </row>
    <row r="133">
      <c r="A133" s="88" t="s">
        <v>381</v>
      </c>
      <c r="B133" s="14">
        <f>ROUND(G259-F98,6)+ROUND(J259-E188,6)</f>
        <v>0</v>
      </c>
      <c r="C133" s="14">
        <f>ROUND(H259-H98,6)+ROUND(K259-E189,6)</f>
        <v>0</v>
      </c>
      <c r="D133" s="14">
        <f>ROUND(I259-J98,6)+ROUND(L259-E190,6)</f>
        <v>0</v>
      </c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>
      <c r="A154" s="57" t="s">
        <v>382</v>
      </c>
      <c r="B154" s="58"/>
      <c r="C154" s="58"/>
      <c r="D154" s="58"/>
    </row>
    <row r="155">
      <c r="A155" s="60" t="s">
        <v>383</v>
      </c>
      <c r="B155" s="60" t="s">
        <v>233</v>
      </c>
      <c r="C155" s="60" t="s">
        <v>234</v>
      </c>
      <c r="D155" s="60" t="s">
        <v>235</v>
      </c>
    </row>
    <row r="156">
      <c r="A156" s="88" t="s">
        <v>384</v>
      </c>
      <c r="B156" s="35">
        <f>Leg_Forward</f>
        <v>29</v>
      </c>
      <c r="C156" s="35">
        <f>Leg_Forward</f>
        <v>29</v>
      </c>
      <c r="D156" s="35">
        <f>Leg_Forward</f>
        <v>29</v>
      </c>
    </row>
    <row r="157">
      <c r="A157" s="88" t="s">
        <v>385</v>
      </c>
      <c r="B157" s="35">
        <f>Reverse</f>
        <v>29</v>
      </c>
      <c r="C157" s="35">
        <f>Reverse</f>
        <v>29</v>
      </c>
      <c r="D157" s="35">
        <f>Reverse</f>
        <v>29</v>
      </c>
    </row>
    <row r="158">
      <c r="A158" s="88" t="s">
        <v>386</v>
      </c>
      <c r="B158" s="35">
        <f>Leg_Other*$B$124</f>
        <v>91</v>
      </c>
      <c r="C158" s="35">
        <f>Leg_Other*$B$124</f>
        <v>91</v>
      </c>
      <c r="D158" s="35">
        <f>Leg_Other*$B$124</f>
        <v>91</v>
      </c>
    </row>
    <row r="159">
      <c r="A159" s="89" t="s">
        <v>387</v>
      </c>
      <c r="B159" s="91">
        <f t="shared" ref="B159:D159" si="13">SUM(B157:B158)</f>
        <v>120</v>
      </c>
      <c r="C159" s="91">
        <f t="shared" si="13"/>
        <v>120</v>
      </c>
      <c r="D159" s="91">
        <f t="shared" si="13"/>
        <v>120</v>
      </c>
    </row>
    <row r="160">
      <c r="A160" s="88" t="s">
        <v>388</v>
      </c>
      <c r="B160" s="35">
        <f>Prof1</f>
        <v>7.720577236</v>
      </c>
      <c r="C160" s="35">
        <f>Prof2</f>
        <v>-2.279422764</v>
      </c>
      <c r="D160" s="35">
        <f>Prof3</f>
        <v>-12.27942276</v>
      </c>
    </row>
    <row r="161">
      <c r="A161" s="89" t="s">
        <v>389</v>
      </c>
      <c r="B161" s="91">
        <f t="shared" ref="B161:D161" si="14">B159+B160</f>
        <v>127.7205772</v>
      </c>
      <c r="C161" s="91">
        <f t="shared" si="14"/>
        <v>117.7205772</v>
      </c>
      <c r="D161" s="91">
        <f t="shared" si="14"/>
        <v>107.7205772</v>
      </c>
    </row>
    <row r="162">
      <c r="A162" s="88" t="s">
        <v>390</v>
      </c>
      <c r="B162" s="35">
        <f>Save_Sold_Base</f>
        <v>127.7205772</v>
      </c>
      <c r="C162" s="35" t="s">
        <v>391</v>
      </c>
      <c r="D162" s="35">
        <f>Save_Sold_High</f>
        <v>117.7205772</v>
      </c>
    </row>
    <row r="163">
      <c r="A163" s="88" t="s">
        <v>392</v>
      </c>
      <c r="B163" s="35">
        <f>B162-B161</f>
        <v>0</v>
      </c>
      <c r="C163" s="20"/>
      <c r="D163" s="35">
        <f>D162-D161</f>
        <v>10</v>
      </c>
    </row>
    <row r="164">
      <c r="A164" s="92" t="s">
        <v>393</v>
      </c>
      <c r="L164" s="5"/>
    </row>
    <row r="165">
      <c r="A165" s="88" t="s">
        <v>394</v>
      </c>
      <c r="B165" s="35">
        <f>-Rent_Unsold</f>
        <v>-2.276422764</v>
      </c>
      <c r="C165" s="35">
        <f>-Rent_Unsold</f>
        <v>-2.276422764</v>
      </c>
      <c r="D165" s="35">
        <f>-Rent_Unsold</f>
        <v>-2.276422764</v>
      </c>
      <c r="E165" s="5"/>
      <c r="F165" s="5"/>
      <c r="G165" s="5"/>
      <c r="H165" s="5"/>
      <c r="I165" s="5"/>
      <c r="J165" s="5"/>
      <c r="K165" s="5"/>
    </row>
    <row r="166">
      <c r="A166" s="88" t="s">
        <v>395</v>
      </c>
      <c r="B166" s="35">
        <f>Save_Unsold</f>
        <v>-2.276422764</v>
      </c>
      <c r="C166" s="35">
        <f>Save_Unsold</f>
        <v>-2.276422764</v>
      </c>
      <c r="D166" s="35">
        <f>Save_Unsold</f>
        <v>-2.276422764</v>
      </c>
      <c r="E166" s="5"/>
      <c r="F166" s="5"/>
      <c r="G166" s="5"/>
      <c r="H166" s="5"/>
      <c r="I166" s="5"/>
      <c r="J166" s="5"/>
      <c r="K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>
      <c r="A168" s="60" t="s">
        <v>396</v>
      </c>
      <c r="B168" s="60" t="s">
        <v>233</v>
      </c>
      <c r="C168" s="60" t="s">
        <v>234</v>
      </c>
      <c r="D168" s="60" t="s">
        <v>235</v>
      </c>
      <c r="E168" s="60" t="s">
        <v>397</v>
      </c>
    </row>
    <row r="169">
      <c r="A169" s="88" t="s">
        <v>398</v>
      </c>
      <c r="B169" s="14">
        <f>IF(SUMPRODUCT(--($D$224:$D$343+Routed_M_P*$B$224:$B$343*$E169/10^7&gt;0))=0,"Beyond 120",SUMPRODUCT(--($D$224:$D$343+Routed_M_P*$B$224:$B$343*$E169/10^7&lt;=0))+1)</f>
        <v>17</v>
      </c>
      <c r="C169" s="14" t="str">
        <f>IF(SUMPRODUCT(--($E$224:$E$343+Routed_M_P*$B$224:$B$343*$E169/10^7&gt;0))=0,"Beyond 120",SUMPRODUCT(--($E$224:$E$343+Routed_M_P*$B$224:$B$343*$E169/10^7&lt;=0))+1)</f>
        <v>Beyond 120</v>
      </c>
      <c r="D169" s="14" t="str">
        <f>IF(SUMPRODUCT(--($F$224:$F$343+Routed_M_P*$B$224:$B$343*$E169/10^7&gt;0))=0,"Beyond 120",SUMPRODUCT(--($F$224:$F$343+Routed_M_P*$B$224:$B$343*$E169/10^7&lt;=0))+1)</f>
        <v>Beyond 120</v>
      </c>
      <c r="E169" s="35">
        <f>0</f>
        <v>0</v>
      </c>
    </row>
    <row r="170">
      <c r="A170" s="88" t="s">
        <v>399</v>
      </c>
      <c r="B170" s="14">
        <f>IF(SUMPRODUCT(--($D$224:$D$343+Routed_M_P*$B$224:$B$343*$E170/10^7&gt;0))=0,"Beyond 120",SUMPRODUCT(--($D$224:$D$343+Routed_M_P*$B$224:$B$343*$E170/10^7&lt;=0))+1)</f>
        <v>2</v>
      </c>
      <c r="C170" s="14">
        <f>IF(SUMPRODUCT(--($E$224:$E$343+Routed_M_P*$B$224:$B$343*$E170/10^7&gt;0))=0,"Beyond 120",SUMPRODUCT(--($E$224:$E$343+Routed_M_P*$B$224:$B$343*$E170/10^7&lt;=0))+1)</f>
        <v>4</v>
      </c>
      <c r="D170" s="14">
        <f>IF(SUMPRODUCT(--($F$224:$F$343+Routed_M_P*$B$224:$B$343*$E170/10^7&gt;0))=0,"Beyond 120",SUMPRODUCT(--($F$224:$F$343+Routed_M_P*$B$224:$B$343*$E170/10^7&lt;=0))+1)</f>
        <v>7</v>
      </c>
      <c r="E170" s="35">
        <f>Reverse</f>
        <v>29</v>
      </c>
    </row>
    <row r="171">
      <c r="A171" s="88" t="s">
        <v>400</v>
      </c>
      <c r="B171" s="14">
        <f>IF(SUMPRODUCT(--($D$224:$D$343+Routed_M_P*$B$224:$B$343*$E171/10^7&gt;0))=0,"Beyond 120",SUMPRODUCT(--($D$224:$D$343+Routed_M_P*$B$224:$B$343*$E171/10^7&lt;=0))+1)</f>
        <v>1</v>
      </c>
      <c r="C171" s="14">
        <f>IF(SUMPRODUCT(--($E$224:$E$343+Routed_M_P*$B$224:$B$343*$E171/10^7&gt;0))=0,"Beyond 120",SUMPRODUCT(--($E$224:$E$343+Routed_M_P*$B$224:$B$343*$E171/10^7&lt;=0))+1)</f>
        <v>1</v>
      </c>
      <c r="D171" s="14">
        <f>IF(SUMPRODUCT(--($F$224:$F$343+Routed_M_P*$B$224:$B$343*$E171/10^7&gt;0))=0,"Beyond 120",SUMPRODUCT(--($F$224:$F$343+Routed_M_P*$B$224:$B$343*$E171/10^7&lt;=0))+1)</f>
        <v>2</v>
      </c>
      <c r="E171" s="35">
        <f>Reverse+Other_Avoid*Leg_Other</f>
        <v>56.3</v>
      </c>
    </row>
    <row r="172">
      <c r="A172" s="88" t="s">
        <v>401</v>
      </c>
      <c r="B172" s="14">
        <f>IF(SUMPRODUCT(--($D$224:$D$343+Routed_M_P*$B$224:$B$343*$E172/10^7&gt;0))=0,"Beyond 120",SUMPRODUCT(--($D$224:$D$343+Routed_M_P*$B$224:$B$343*$E172/10^7&lt;=0))+1)</f>
        <v>1</v>
      </c>
      <c r="C172" s="14">
        <f>IF(SUMPRODUCT(--($E$224:$E$343+Routed_M_P*$B$224:$B$343*$E172/10^7&gt;0))=0,"Beyond 120",SUMPRODUCT(--($E$224:$E$343+Routed_M_P*$B$224:$B$343*$E172/10^7&lt;=0))+1)</f>
        <v>1</v>
      </c>
      <c r="D172" s="14">
        <f>IF(SUMPRODUCT(--($F$224:$F$343+Routed_M_P*$B$224:$B$343*$E172/10^7&gt;0))=0,"Beyond 120",SUMPRODUCT(--($F$224:$F$343+Routed_M_P*$B$224:$B$343*$E172/10^7&lt;=0))+1)</f>
        <v>1</v>
      </c>
      <c r="E172" s="35">
        <f>Reverse+Leg_Other</f>
        <v>120</v>
      </c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>
      <c r="A175" s="60" t="s">
        <v>402</v>
      </c>
      <c r="B175" s="60" t="s">
        <v>233</v>
      </c>
      <c r="C175" s="60" t="s">
        <v>234</v>
      </c>
      <c r="D175" s="60" t="s">
        <v>235</v>
      </c>
      <c r="E175" s="60" t="s">
        <v>397</v>
      </c>
    </row>
    <row r="176">
      <c r="A176" s="88" t="s">
        <v>398</v>
      </c>
      <c r="B176" s="14">
        <f t="shared" ref="B176:B179" si="15">IF(SUMPRODUCT(--($G$224:$G$343+$C$224:$C$343*$E176/100&gt;=0))=0,"Beyond 120",SUMPRODUCT(--($G$224:$G$343+$C$224:$C$343*$E176/100&lt;0))+1)</f>
        <v>36</v>
      </c>
      <c r="C176" s="14" t="str">
        <f t="shared" ref="C176:C179" si="16">IF(SUMPRODUCT(--($H$224:$H$343+$C$224:$C$343*$E176/100&gt;=0))=0,"Beyond 120",SUMPRODUCT(--($H$224:$H$343+$C$224:$C$343*$E176/100&lt;0))+1)</f>
        <v>Beyond 120</v>
      </c>
      <c r="D176" s="14" t="str">
        <f t="shared" ref="D176:D179" si="17">IF(SUMPRODUCT(--($I$224:$I$343+$C$224:$C$343*$E176/100&gt;=0))=0,"Beyond 120",SUMPRODUCT(--($I$224:$I$343+$C$224:$C$343*$E176/100&lt;0))+1)</f>
        <v>Beyond 120</v>
      </c>
      <c r="E176" s="35">
        <f t="shared" ref="E176:E179" si="18">E169</f>
        <v>0</v>
      </c>
    </row>
    <row r="177">
      <c r="A177" s="88" t="s">
        <v>399</v>
      </c>
      <c r="B177" s="14">
        <f t="shared" si="15"/>
        <v>4</v>
      </c>
      <c r="C177" s="14">
        <f t="shared" si="16"/>
        <v>7</v>
      </c>
      <c r="D177" s="14">
        <f t="shared" si="17"/>
        <v>13</v>
      </c>
      <c r="E177" s="35">
        <f t="shared" si="18"/>
        <v>29</v>
      </c>
    </row>
    <row r="178">
      <c r="A178" s="88" t="s">
        <v>400</v>
      </c>
      <c r="B178" s="14">
        <f t="shared" si="15"/>
        <v>1</v>
      </c>
      <c r="C178" s="14">
        <f t="shared" si="16"/>
        <v>2</v>
      </c>
      <c r="D178" s="14">
        <f t="shared" si="17"/>
        <v>3</v>
      </c>
      <c r="E178" s="35">
        <f t="shared" si="18"/>
        <v>56.3</v>
      </c>
    </row>
    <row r="179">
      <c r="A179" s="88" t="s">
        <v>401</v>
      </c>
      <c r="B179" s="14">
        <f t="shared" si="15"/>
        <v>1</v>
      </c>
      <c r="C179" s="14">
        <f t="shared" si="16"/>
        <v>1</v>
      </c>
      <c r="D179" s="14">
        <f t="shared" si="17"/>
        <v>1</v>
      </c>
      <c r="E179" s="35">
        <f t="shared" si="18"/>
        <v>120</v>
      </c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>
      <c r="A181" s="60" t="s">
        <v>403</v>
      </c>
      <c r="B181" s="60" t="s">
        <v>170</v>
      </c>
      <c r="C181" s="60" t="s">
        <v>171</v>
      </c>
      <c r="D181" s="60" t="s">
        <v>268</v>
      </c>
      <c r="E181" s="60" t="s">
        <v>269</v>
      </c>
    </row>
    <row r="182">
      <c r="A182" s="88" t="s">
        <v>174</v>
      </c>
      <c r="B182" s="81">
        <f t="shared" ref="B182:E182" si="19">B103</f>
        <v>180.3816964</v>
      </c>
      <c r="C182" s="81">
        <f t="shared" si="19"/>
        <v>357.0054408</v>
      </c>
      <c r="D182" s="81">
        <f t="shared" si="19"/>
        <v>483.2726283</v>
      </c>
      <c r="E182" s="81">
        <f t="shared" si="19"/>
        <v>1020.659766</v>
      </c>
    </row>
    <row r="183">
      <c r="A183" s="88" t="s">
        <v>179</v>
      </c>
      <c r="B183" s="17">
        <f>B103*10^5/(RTO_Day*365)</f>
        <v>0.06921518607</v>
      </c>
      <c r="C183" s="17">
        <f>C103*10^5/(RTO_Day*365)</f>
        <v>0.1369883891</v>
      </c>
      <c r="D183" s="17">
        <f>D103*10^5/(RTO_Day*365)</f>
        <v>0.1854390194</v>
      </c>
      <c r="E183" s="17">
        <f>E103*10^5/(RTO_Day*365*3)</f>
        <v>0.1305475315</v>
      </c>
    </row>
    <row r="184">
      <c r="A184" s="89" t="s">
        <v>404</v>
      </c>
      <c r="B184" s="54">
        <f>B103*RTO_Avoid_Sale/100</f>
        <v>216.4580357</v>
      </c>
      <c r="C184" s="54">
        <f>C103*RTO_Avoid_Sale/100</f>
        <v>428.406529</v>
      </c>
      <c r="D184" s="54">
        <f>D103*RTO_Avoid_Sale/100</f>
        <v>579.927154</v>
      </c>
      <c r="E184" s="54">
        <f>E103*RTO_Avoid_Sale/100</f>
        <v>1224.791719</v>
      </c>
    </row>
    <row r="185">
      <c r="A185" s="88" t="s">
        <v>405</v>
      </c>
      <c r="B185" s="85">
        <f t="shared" ref="B185:E185" si="20">B104</f>
        <v>-16.55724181</v>
      </c>
      <c r="C185" s="85">
        <f t="shared" si="20"/>
        <v>2.119833922</v>
      </c>
      <c r="D185" s="85">
        <f t="shared" si="20"/>
        <v>14.74276466</v>
      </c>
      <c r="E185" s="85">
        <f t="shared" si="20"/>
        <v>0.3053567695</v>
      </c>
    </row>
    <row r="186">
      <c r="A186" s="88" t="s">
        <v>406</v>
      </c>
      <c r="B186" s="85">
        <f t="shared" ref="B186:E186" si="21">B105</f>
        <v>-34.59541145</v>
      </c>
      <c r="C186" s="85">
        <f t="shared" si="21"/>
        <v>-33.58071016</v>
      </c>
      <c r="D186" s="85">
        <f t="shared" si="21"/>
        <v>-33.58449818</v>
      </c>
      <c r="E186" s="85">
        <f t="shared" si="21"/>
        <v>-101.7606198</v>
      </c>
    </row>
    <row r="187">
      <c r="A187" s="88" t="s">
        <v>407</v>
      </c>
      <c r="B187" s="85">
        <f t="shared" ref="B187:E187" si="22">B106</f>
        <v>-52.63358109</v>
      </c>
      <c r="C187" s="85">
        <f t="shared" si="22"/>
        <v>-69.28125425</v>
      </c>
      <c r="D187" s="85">
        <f t="shared" si="22"/>
        <v>-81.91176101</v>
      </c>
      <c r="E187" s="85">
        <f t="shared" si="22"/>
        <v>-203.8265964</v>
      </c>
    </row>
    <row r="188">
      <c r="A188" s="89" t="s">
        <v>408</v>
      </c>
      <c r="B188" s="27">
        <f t="shared" ref="B188:E188" si="23">B185+B184</f>
        <v>199.9007939</v>
      </c>
      <c r="C188" s="27">
        <f t="shared" si="23"/>
        <v>430.5263629</v>
      </c>
      <c r="D188" s="27">
        <f t="shared" si="23"/>
        <v>594.6699187</v>
      </c>
      <c r="E188" s="27">
        <f t="shared" si="23"/>
        <v>1225.097076</v>
      </c>
    </row>
    <row r="189">
      <c r="A189" s="89" t="s">
        <v>409</v>
      </c>
      <c r="B189" s="27">
        <f t="shared" ref="B189:E189" si="24">B186+B184</f>
        <v>181.8626243</v>
      </c>
      <c r="C189" s="27">
        <f t="shared" si="24"/>
        <v>394.8258189</v>
      </c>
      <c r="D189" s="27">
        <f t="shared" si="24"/>
        <v>546.3426558</v>
      </c>
      <c r="E189" s="27">
        <f t="shared" si="24"/>
        <v>1123.031099</v>
      </c>
    </row>
    <row r="190">
      <c r="A190" s="89" t="s">
        <v>410</v>
      </c>
      <c r="B190" s="27">
        <f t="shared" ref="B190:E190" si="25">B187+B184</f>
        <v>163.8244546</v>
      </c>
      <c r="C190" s="27">
        <f t="shared" si="25"/>
        <v>359.1252748</v>
      </c>
      <c r="D190" s="27">
        <f t="shared" si="25"/>
        <v>498.015393</v>
      </c>
      <c r="E190" s="27">
        <f t="shared" si="25"/>
        <v>1020.965122</v>
      </c>
    </row>
    <row r="191">
      <c r="A191" s="88" t="s">
        <v>411</v>
      </c>
      <c r="B191" s="85">
        <f>'India Rollout'!B21</f>
        <v>410.9425084</v>
      </c>
      <c r="C191" s="85">
        <f>'India Rollout'!C21</f>
        <v>669.9023817</v>
      </c>
      <c r="D191" s="85">
        <f>'India Rollout'!D21</f>
        <v>669.9023817</v>
      </c>
      <c r="E191" s="85">
        <f>'India Rollout'!E21</f>
        <v>1750.747272</v>
      </c>
    </row>
    <row r="192">
      <c r="A192" s="88" t="s">
        <v>412</v>
      </c>
      <c r="B192" s="85">
        <f>'India Rollout'!B22</f>
        <v>376.6699861</v>
      </c>
      <c r="C192" s="85">
        <f>'India Rollout'!C22</f>
        <v>615.7878728</v>
      </c>
      <c r="D192" s="85">
        <f>'India Rollout'!D22</f>
        <v>615.7878728</v>
      </c>
      <c r="E192" s="85">
        <f>'India Rollout'!E22</f>
        <v>1608.245732</v>
      </c>
    </row>
    <row r="193">
      <c r="A193" s="88" t="s">
        <v>413</v>
      </c>
      <c r="B193" s="14">
        <f>Payback_Base</f>
        <v>1</v>
      </c>
      <c r="C193" s="14">
        <f>Payback_High</f>
        <v>1</v>
      </c>
      <c r="D193" s="20"/>
      <c r="E193" s="20"/>
      <c r="F193" s="5"/>
      <c r="G193" s="5"/>
      <c r="H193" s="5"/>
      <c r="I193" s="5"/>
      <c r="J193" s="5"/>
      <c r="K193" s="5"/>
      <c r="L193" s="5"/>
    </row>
    <row r="194">
      <c r="A194" s="92" t="s">
        <v>414</v>
      </c>
      <c r="L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>
      <c r="A196" s="60" t="s">
        <v>415</v>
      </c>
      <c r="B196" s="60" t="s">
        <v>416</v>
      </c>
      <c r="C196" s="60" t="s">
        <v>417</v>
      </c>
      <c r="D196" s="60" t="s">
        <v>418</v>
      </c>
    </row>
    <row r="197">
      <c r="A197" s="88" t="s">
        <v>246</v>
      </c>
      <c r="B197" s="17">
        <f>ST_M1</f>
        <v>0.05</v>
      </c>
      <c r="C197" s="17">
        <f>ST_M12</f>
        <v>0.2</v>
      </c>
      <c r="D197" s="17">
        <f>ST_M36</f>
        <v>0.375</v>
      </c>
    </row>
    <row r="198">
      <c r="A198" s="88" t="s">
        <v>419</v>
      </c>
      <c r="B198" s="93">
        <f t="shared" ref="B198:D198" si="26">(1-B197)/B197</f>
        <v>19</v>
      </c>
      <c r="C198" s="93">
        <f t="shared" si="26"/>
        <v>4</v>
      </c>
      <c r="D198" s="93">
        <f t="shared" si="26"/>
        <v>1.666666667</v>
      </c>
    </row>
    <row r="199">
      <c r="A199" s="89" t="s">
        <v>420</v>
      </c>
      <c r="B199" s="91">
        <f>B198*Rent_Unsold</f>
        <v>43.25203252</v>
      </c>
      <c r="C199" s="91">
        <f>C198*Rent_Unsold</f>
        <v>9.105691057</v>
      </c>
      <c r="D199" s="91">
        <f>D198*Rent_Unsold</f>
        <v>3.79403794</v>
      </c>
    </row>
    <row r="200">
      <c r="A200" s="88" t="s">
        <v>421</v>
      </c>
      <c r="B200" s="35">
        <f>Prof1-B199</f>
        <v>-35.53145528</v>
      </c>
      <c r="C200" s="35">
        <f>Prof1-C199</f>
        <v>-1.385113821</v>
      </c>
      <c r="D200" s="35">
        <f>Prof1-D199</f>
        <v>3.926539295</v>
      </c>
    </row>
    <row r="201">
      <c r="A201" s="88" t="s">
        <v>422</v>
      </c>
      <c r="B201" s="35">
        <f>Prof2-B199</f>
        <v>-45.53145528</v>
      </c>
      <c r="C201" s="35">
        <f>Prof2-C199</f>
        <v>-11.38511382</v>
      </c>
      <c r="D201" s="35">
        <f>Prof2-D199</f>
        <v>-6.073460705</v>
      </c>
    </row>
    <row r="202">
      <c r="A202" s="88" t="s">
        <v>423</v>
      </c>
      <c r="B202" s="35">
        <f>Prof3-B199</f>
        <v>-55.53145528</v>
      </c>
      <c r="C202" s="35">
        <f>Prof3-C199</f>
        <v>-21.38511382</v>
      </c>
      <c r="D202" s="35">
        <f>Prof3-D199</f>
        <v>-16.0734607</v>
      </c>
    </row>
    <row r="203">
      <c r="A203" s="89" t="s">
        <v>424</v>
      </c>
      <c r="B203" s="94">
        <f>Prof1-B199+RTO_Avoid_Sale</f>
        <v>84.46854472</v>
      </c>
      <c r="C203" s="94">
        <f>Prof1-C199+RTO_Avoid_Sale</f>
        <v>118.6148862</v>
      </c>
      <c r="D203" s="94">
        <f>Prof1-D199+RTO_Avoid_Sale</f>
        <v>123.9265393</v>
      </c>
    </row>
    <row r="204">
      <c r="A204" s="89" t="s">
        <v>425</v>
      </c>
      <c r="B204" s="94">
        <f>Prof2-B199+RTO_Avoid_Sale</f>
        <v>74.46854472</v>
      </c>
      <c r="C204" s="94">
        <f>Prof2-C199+RTO_Avoid_Sale</f>
        <v>108.6148862</v>
      </c>
      <c r="D204" s="94">
        <f>Prof2-D199+RTO_Avoid_Sale</f>
        <v>113.9265393</v>
      </c>
    </row>
    <row r="205">
      <c r="A205" s="89" t="s">
        <v>426</v>
      </c>
      <c r="B205" s="94">
        <f>Prof3-B199+RTO_Avoid_Sale</f>
        <v>64.46854472</v>
      </c>
      <c r="C205" s="94">
        <f>Prof3-C199+RTO_Avoid_Sale</f>
        <v>98.61488618</v>
      </c>
      <c r="D205" s="94">
        <f>Prof3-D199+RTO_Avoid_Sale</f>
        <v>103.9265393</v>
      </c>
    </row>
    <row r="206">
      <c r="A206" s="92" t="s">
        <v>427</v>
      </c>
      <c r="L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>
      <c r="A208" s="95" t="s">
        <v>428</v>
      </c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</row>
    <row r="209">
      <c r="A209" s="60" t="s">
        <v>429</v>
      </c>
      <c r="B209" s="60">
        <v>1.0</v>
      </c>
      <c r="C209" s="60">
        <v>2.0</v>
      </c>
      <c r="D209" s="60">
        <v>3.0</v>
      </c>
      <c r="E209" s="60">
        <v>4.0</v>
      </c>
      <c r="F209" s="60">
        <v>5.0</v>
      </c>
      <c r="G209" s="60">
        <v>6.0</v>
      </c>
      <c r="H209" s="60">
        <v>7.0</v>
      </c>
      <c r="I209" s="60">
        <v>8.0</v>
      </c>
      <c r="J209" s="60">
        <v>9.0</v>
      </c>
      <c r="K209" s="60">
        <v>10.0</v>
      </c>
      <c r="L209" s="60" t="s">
        <v>430</v>
      </c>
    </row>
    <row r="210">
      <c r="A210" s="88" t="s">
        <v>270</v>
      </c>
      <c r="B210" s="17">
        <f t="shared" ref="B210:K210" si="27">AVERAGE(INDEX($B$224:$B$343,12*(B$209-1)+1):INDEX($B$224:$B$343,12*B$209))</f>
        <v>0.125</v>
      </c>
      <c r="C210" s="17">
        <f t="shared" si="27"/>
        <v>0.2473958333</v>
      </c>
      <c r="D210" s="17">
        <f t="shared" si="27"/>
        <v>0.3348958333</v>
      </c>
      <c r="E210" s="17">
        <f t="shared" si="27"/>
        <v>0.375</v>
      </c>
      <c r="F210" s="17">
        <f t="shared" si="27"/>
        <v>0.375</v>
      </c>
      <c r="G210" s="17">
        <f t="shared" si="27"/>
        <v>0.375</v>
      </c>
      <c r="H210" s="17">
        <f t="shared" si="27"/>
        <v>0.375</v>
      </c>
      <c r="I210" s="17">
        <f t="shared" si="27"/>
        <v>0.375</v>
      </c>
      <c r="J210" s="17">
        <f t="shared" si="27"/>
        <v>0.375</v>
      </c>
      <c r="K210" s="17">
        <f t="shared" si="27"/>
        <v>0.375</v>
      </c>
      <c r="L210" s="17">
        <f>AVERAGE(B210:K210)</f>
        <v>0.3332291667</v>
      </c>
    </row>
    <row r="211">
      <c r="A211" s="88" t="s">
        <v>431</v>
      </c>
      <c r="B211" s="81">
        <f t="shared" ref="B211:K211" si="28">INDEX($C$224:$C$343,12*B$209)-IF(B$209=1,0,INDEX($C$224:$C$343,12*(B$209-1)))</f>
        <v>180.3816964</v>
      </c>
      <c r="C211" s="81">
        <f t="shared" si="28"/>
        <v>357.0054408</v>
      </c>
      <c r="D211" s="81">
        <f t="shared" si="28"/>
        <v>483.2726283</v>
      </c>
      <c r="E211" s="81">
        <f t="shared" si="28"/>
        <v>541.1450893</v>
      </c>
      <c r="F211" s="81">
        <f t="shared" si="28"/>
        <v>541.1450893</v>
      </c>
      <c r="G211" s="81">
        <f t="shared" si="28"/>
        <v>541.1450893</v>
      </c>
      <c r="H211" s="81">
        <f t="shared" si="28"/>
        <v>541.1450893</v>
      </c>
      <c r="I211" s="81">
        <f t="shared" si="28"/>
        <v>541.1450893</v>
      </c>
      <c r="J211" s="81">
        <f t="shared" si="28"/>
        <v>541.1450893</v>
      </c>
      <c r="K211" s="81">
        <f t="shared" si="28"/>
        <v>541.1450893</v>
      </c>
      <c r="L211" s="81">
        <f t="shared" ref="L211:L218" si="29">SUM(B211:K211)</f>
        <v>4808.675391</v>
      </c>
    </row>
    <row r="212">
      <c r="A212" s="89" t="s">
        <v>404</v>
      </c>
      <c r="B212" s="54">
        <f>B211*RTO_Avoid_Sale/100</f>
        <v>216.4580357</v>
      </c>
      <c r="C212" s="54">
        <f>C211*RTO_Avoid_Sale/100</f>
        <v>428.406529</v>
      </c>
      <c r="D212" s="54">
        <f>D211*RTO_Avoid_Sale/100</f>
        <v>579.927154</v>
      </c>
      <c r="E212" s="54">
        <f>E211*RTO_Avoid_Sale/100</f>
        <v>649.3741071</v>
      </c>
      <c r="F212" s="54">
        <f>F211*RTO_Avoid_Sale/100</f>
        <v>649.3741071</v>
      </c>
      <c r="G212" s="54">
        <f>G211*RTO_Avoid_Sale/100</f>
        <v>649.3741071</v>
      </c>
      <c r="H212" s="54">
        <f>H211*RTO_Avoid_Sale/100</f>
        <v>649.3741071</v>
      </c>
      <c r="I212" s="54">
        <f>I211*RTO_Avoid_Sale/100</f>
        <v>649.3741071</v>
      </c>
      <c r="J212" s="54">
        <f>J211*RTO_Avoid_Sale/100</f>
        <v>649.3741071</v>
      </c>
      <c r="K212" s="54">
        <f>K211*RTO_Avoid_Sale/100</f>
        <v>649.3741071</v>
      </c>
      <c r="L212" s="54">
        <f t="shared" si="29"/>
        <v>5770.410469</v>
      </c>
    </row>
    <row r="213">
      <c r="A213" s="88" t="s">
        <v>432</v>
      </c>
      <c r="B213" s="85">
        <f t="shared" ref="B213:K213" si="30">INDEX($G$224:$G$343,12*B$209)-IF(B$209=1,0,INDEX($G$224:$G$343,12*(B$209-1)))</f>
        <v>-16.55724181</v>
      </c>
      <c r="C213" s="85">
        <f t="shared" si="30"/>
        <v>2.119833922</v>
      </c>
      <c r="D213" s="85">
        <f t="shared" si="30"/>
        <v>14.74276466</v>
      </c>
      <c r="E213" s="85">
        <f t="shared" si="30"/>
        <v>20.52827458</v>
      </c>
      <c r="F213" s="85">
        <f t="shared" si="30"/>
        <v>20.52827458</v>
      </c>
      <c r="G213" s="85">
        <f t="shared" si="30"/>
        <v>20.52827458</v>
      </c>
      <c r="H213" s="85">
        <f t="shared" si="30"/>
        <v>20.52827458</v>
      </c>
      <c r="I213" s="85">
        <f t="shared" si="30"/>
        <v>20.52827458</v>
      </c>
      <c r="J213" s="85">
        <f t="shared" si="30"/>
        <v>20.52827458</v>
      </c>
      <c r="K213" s="85">
        <f t="shared" si="30"/>
        <v>20.52827458</v>
      </c>
      <c r="L213" s="85">
        <f t="shared" si="29"/>
        <v>144.0032788</v>
      </c>
    </row>
    <row r="214">
      <c r="A214" s="88" t="s">
        <v>433</v>
      </c>
      <c r="B214" s="85">
        <f t="shared" ref="B214:K214" si="31">INDEX($H$224:$H$343,12*B$209)-IF(B$209=1,0,INDEX($H$224:$H$343,12*(B$209-1)))</f>
        <v>-34.59541145</v>
      </c>
      <c r="C214" s="85">
        <f t="shared" si="31"/>
        <v>-33.58071016</v>
      </c>
      <c r="D214" s="85">
        <f t="shared" si="31"/>
        <v>-33.58449818</v>
      </c>
      <c r="E214" s="85">
        <f t="shared" si="31"/>
        <v>-33.58623435</v>
      </c>
      <c r="F214" s="85">
        <f t="shared" si="31"/>
        <v>-33.58623435</v>
      </c>
      <c r="G214" s="85">
        <f t="shared" si="31"/>
        <v>-33.58623435</v>
      </c>
      <c r="H214" s="85">
        <f t="shared" si="31"/>
        <v>-33.58623435</v>
      </c>
      <c r="I214" s="85">
        <f t="shared" si="31"/>
        <v>-33.58623435</v>
      </c>
      <c r="J214" s="85">
        <f t="shared" si="31"/>
        <v>-33.58623435</v>
      </c>
      <c r="K214" s="85">
        <f t="shared" si="31"/>
        <v>-33.58623435</v>
      </c>
      <c r="L214" s="85">
        <f t="shared" si="29"/>
        <v>-336.8642603</v>
      </c>
    </row>
    <row r="215">
      <c r="A215" s="88" t="s">
        <v>434</v>
      </c>
      <c r="B215" s="85">
        <f t="shared" ref="B215:K215" si="32">INDEX($I$224:$I$343,12*B$209)-IF(B$209=1,0,INDEX($I$224:$I$343,12*(B$209-1)))</f>
        <v>-52.63358109</v>
      </c>
      <c r="C215" s="85">
        <f t="shared" si="32"/>
        <v>-69.28125425</v>
      </c>
      <c r="D215" s="85">
        <f t="shared" si="32"/>
        <v>-81.91176101</v>
      </c>
      <c r="E215" s="85">
        <f t="shared" si="32"/>
        <v>-87.70074328</v>
      </c>
      <c r="F215" s="85">
        <f t="shared" si="32"/>
        <v>-87.70074328</v>
      </c>
      <c r="G215" s="85">
        <f t="shared" si="32"/>
        <v>-87.70074328</v>
      </c>
      <c r="H215" s="85">
        <f t="shared" si="32"/>
        <v>-87.70074328</v>
      </c>
      <c r="I215" s="85">
        <f t="shared" si="32"/>
        <v>-87.70074328</v>
      </c>
      <c r="J215" s="85">
        <f t="shared" si="32"/>
        <v>-87.70074328</v>
      </c>
      <c r="K215" s="85">
        <f t="shared" si="32"/>
        <v>-87.70074328</v>
      </c>
      <c r="L215" s="85">
        <f t="shared" si="29"/>
        <v>-817.7317993</v>
      </c>
    </row>
    <row r="216">
      <c r="A216" s="89" t="s">
        <v>408</v>
      </c>
      <c r="B216" s="27">
        <f t="shared" ref="B216:K216" si="33">B213+B212</f>
        <v>199.9007939</v>
      </c>
      <c r="C216" s="27">
        <f t="shared" si="33"/>
        <v>430.5263629</v>
      </c>
      <c r="D216" s="27">
        <f t="shared" si="33"/>
        <v>594.6699187</v>
      </c>
      <c r="E216" s="27">
        <f t="shared" si="33"/>
        <v>669.9023817</v>
      </c>
      <c r="F216" s="27">
        <f t="shared" si="33"/>
        <v>669.9023817</v>
      </c>
      <c r="G216" s="27">
        <f t="shared" si="33"/>
        <v>669.9023817</v>
      </c>
      <c r="H216" s="27">
        <f t="shared" si="33"/>
        <v>669.9023817</v>
      </c>
      <c r="I216" s="27">
        <f t="shared" si="33"/>
        <v>669.9023817</v>
      </c>
      <c r="J216" s="27">
        <f t="shared" si="33"/>
        <v>669.9023817</v>
      </c>
      <c r="K216" s="27">
        <f t="shared" si="33"/>
        <v>669.9023817</v>
      </c>
      <c r="L216" s="27">
        <f t="shared" si="29"/>
        <v>5914.413748</v>
      </c>
    </row>
    <row r="217">
      <c r="A217" s="89" t="s">
        <v>409</v>
      </c>
      <c r="B217" s="27">
        <f t="shared" ref="B217:K217" si="34">B214+B212</f>
        <v>181.8626243</v>
      </c>
      <c r="C217" s="27">
        <f t="shared" si="34"/>
        <v>394.8258189</v>
      </c>
      <c r="D217" s="27">
        <f t="shared" si="34"/>
        <v>546.3426558</v>
      </c>
      <c r="E217" s="27">
        <f t="shared" si="34"/>
        <v>615.7878728</v>
      </c>
      <c r="F217" s="27">
        <f t="shared" si="34"/>
        <v>615.7878728</v>
      </c>
      <c r="G217" s="27">
        <f t="shared" si="34"/>
        <v>615.7878728</v>
      </c>
      <c r="H217" s="27">
        <f t="shared" si="34"/>
        <v>615.7878728</v>
      </c>
      <c r="I217" s="27">
        <f t="shared" si="34"/>
        <v>615.7878728</v>
      </c>
      <c r="J217" s="27">
        <f t="shared" si="34"/>
        <v>615.7878728</v>
      </c>
      <c r="K217" s="27">
        <f t="shared" si="34"/>
        <v>615.7878728</v>
      </c>
      <c r="L217" s="27">
        <f t="shared" si="29"/>
        <v>5433.546208</v>
      </c>
    </row>
    <row r="218">
      <c r="A218" s="89" t="s">
        <v>410</v>
      </c>
      <c r="B218" s="27">
        <f t="shared" ref="B218:K218" si="35">B215+B212</f>
        <v>163.8244546</v>
      </c>
      <c r="C218" s="27">
        <f t="shared" si="35"/>
        <v>359.1252748</v>
      </c>
      <c r="D218" s="27">
        <f t="shared" si="35"/>
        <v>498.015393</v>
      </c>
      <c r="E218" s="27">
        <f t="shared" si="35"/>
        <v>561.6733639</v>
      </c>
      <c r="F218" s="27">
        <f t="shared" si="35"/>
        <v>561.6733639</v>
      </c>
      <c r="G218" s="27">
        <f t="shared" si="35"/>
        <v>561.6733639</v>
      </c>
      <c r="H218" s="27">
        <f t="shared" si="35"/>
        <v>561.6733639</v>
      </c>
      <c r="I218" s="27">
        <f t="shared" si="35"/>
        <v>561.6733639</v>
      </c>
      <c r="J218" s="27">
        <f t="shared" si="35"/>
        <v>561.6733639</v>
      </c>
      <c r="K218" s="27">
        <f t="shared" si="35"/>
        <v>561.6733639</v>
      </c>
      <c r="L218" s="27">
        <f t="shared" si="29"/>
        <v>4952.678669</v>
      </c>
    </row>
    <row r="219">
      <c r="A219" s="88" t="s">
        <v>435</v>
      </c>
      <c r="B219" s="14">
        <f t="array" ref="B219">ROUND(L213-INDEX($G$224:$G$343,120),6)</f>
        <v>0</v>
      </c>
      <c r="C219" s="14">
        <f t="array" ref="C219">ROUND(L214-INDEX($H$224:$H$343,120),6)</f>
        <v>0</v>
      </c>
      <c r="D219" s="14">
        <f t="array" ref="D219">ROUND(L215-INDEX($I$224:$I$343,120),6)</f>
        <v>0</v>
      </c>
      <c r="E219" s="20"/>
      <c r="F219" s="20"/>
      <c r="G219" s="20"/>
      <c r="H219" s="20"/>
      <c r="I219" s="20"/>
      <c r="J219" s="20"/>
      <c r="K219" s="20"/>
      <c r="L219" s="20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>
      <c r="A222" s="52" t="s">
        <v>436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96"/>
    </row>
    <row r="223">
      <c r="A223" s="60" t="s">
        <v>281</v>
      </c>
      <c r="B223" s="60" t="s">
        <v>246</v>
      </c>
      <c r="C223" s="60" t="s">
        <v>437</v>
      </c>
      <c r="D223" s="60" t="s">
        <v>438</v>
      </c>
      <c r="E223" s="60" t="s">
        <v>439</v>
      </c>
      <c r="F223" s="60" t="s">
        <v>440</v>
      </c>
      <c r="G223" s="60" t="s">
        <v>441</v>
      </c>
      <c r="H223" s="60" t="s">
        <v>442</v>
      </c>
      <c r="I223" s="60" t="s">
        <v>443</v>
      </c>
      <c r="J223" s="60" t="s">
        <v>444</v>
      </c>
      <c r="K223" s="60" t="s">
        <v>445</v>
      </c>
      <c r="L223" s="60" t="s">
        <v>446</v>
      </c>
    </row>
    <row r="224">
      <c r="A224" s="84">
        <v>1.0</v>
      </c>
      <c r="B224" s="17">
        <f>IF(A224&lt;=12,ST_M1+(ST_M12-ST_M1)*(A224-1)/11,IF(A224&lt;=36,ST_M12+(ST_M36-ST_M12)*(A224-12)/24,ST_M36))</f>
        <v>0.05</v>
      </c>
      <c r="C224" s="81">
        <f>Routed_M_P*SUM(B$224:B224)/10^5</f>
        <v>6.012723214</v>
      </c>
      <c r="D224" s="85">
        <f>(Routed_M_P*($B224*Prof1-(1-$B224)*Rent_Unsold)-Maint_P)/10^7</f>
        <v>-2.19640806</v>
      </c>
      <c r="E224" s="85">
        <f>(Routed_M_P*($B224*Prof2-(1-$B224)*Rent_Unsold)-Maint_P)/10^7</f>
        <v>-2.797680382</v>
      </c>
      <c r="F224" s="85">
        <f>(Routed_M_P*($B224*Prof3-(1-$B224)*Rent_Unsold)-Maint_P)/10^7</f>
        <v>-3.398952703</v>
      </c>
      <c r="G224" s="85">
        <f>SUM(D$224:D224)-OneTime_P/10^7</f>
        <v>-3.21640806</v>
      </c>
      <c r="H224" s="85">
        <f>SUM(E$224:E224)-OneTime_P/10^7</f>
        <v>-3.817680382</v>
      </c>
      <c r="I224" s="85">
        <f>SUM(F$224:F224)-OneTime_P/10^7</f>
        <v>-4.418952703</v>
      </c>
      <c r="J224" s="85">
        <f>G224+$C224*RTO_Avoid_Sale/100</f>
        <v>3.998859797</v>
      </c>
      <c r="K224" s="85">
        <f>H224+$C224*RTO_Avoid_Sale/100</f>
        <v>3.397587475</v>
      </c>
      <c r="L224" s="85">
        <f>I224+$C224*RTO_Avoid_Sale/100</f>
        <v>2.796315154</v>
      </c>
    </row>
    <row r="225">
      <c r="A225" s="84">
        <v>2.0</v>
      </c>
      <c r="B225" s="17">
        <f>IF(A225&lt;=12,ST_M1+(ST_M12-ST_M1)*(A225-1)/11,IF(A225&lt;=36,ST_M12+(ST_M36-ST_M12)*(A225-12)/24,ST_M36))</f>
        <v>0.06363636364</v>
      </c>
      <c r="C225" s="81">
        <f>Routed_M_P*SUM(B$224:B225)/10^5</f>
        <v>13.66528003</v>
      </c>
      <c r="D225" s="85">
        <f>(Routed_M_P*($B225*Prof1-(1-$B225)*Rent_Unsold)-Maint_P)/10^7</f>
        <v>-2.032473895</v>
      </c>
      <c r="E225" s="85">
        <f>(Routed_M_P*($B225*Prof2-(1-$B225)*Rent_Unsold)-Maint_P)/10^7</f>
        <v>-2.797729577</v>
      </c>
      <c r="F225" s="85">
        <f>(Routed_M_P*($B225*Prof3-(1-$B225)*Rent_Unsold)-Maint_P)/10^7</f>
        <v>-3.562985259</v>
      </c>
      <c r="G225" s="85">
        <f>SUM(D$224:D225)-OneTime_P/10^7</f>
        <v>-5.248881955</v>
      </c>
      <c r="H225" s="85">
        <f>SUM(E$224:E225)-OneTime_P/10^7</f>
        <v>-6.615409958</v>
      </c>
      <c r="I225" s="85">
        <f>SUM(F$224:F225)-OneTime_P/10^7</f>
        <v>-7.981937962</v>
      </c>
      <c r="J225" s="85">
        <f>G225+$C225*RTO_Avoid_Sale/100</f>
        <v>11.14945408</v>
      </c>
      <c r="K225" s="85">
        <f>H225+$C225*RTO_Avoid_Sale/100</f>
        <v>9.782926081</v>
      </c>
      <c r="L225" s="85">
        <f>I225+$C225*RTO_Avoid_Sale/100</f>
        <v>8.416398077</v>
      </c>
    </row>
    <row r="226">
      <c r="A226" s="84">
        <v>3.0</v>
      </c>
      <c r="B226" s="17">
        <f>IF(A226&lt;=12,ST_M1+(ST_M12-ST_M1)*(A226-1)/11,IF(A226&lt;=36,ST_M12+(ST_M36-ST_M12)*(A226-12)/24,ST_M36))</f>
        <v>0.07727272727</v>
      </c>
      <c r="C226" s="81">
        <f>Routed_M_P*SUM(B$224:B226)/10^5</f>
        <v>22.95767045</v>
      </c>
      <c r="D226" s="85">
        <f>(Routed_M_P*($B226*Prof1-(1-$B226)*Rent_Unsold)-Maint_P)/10^7</f>
        <v>-1.86853973</v>
      </c>
      <c r="E226" s="85">
        <f>(Routed_M_P*($B226*Prof2-(1-$B226)*Rent_Unsold)-Maint_P)/10^7</f>
        <v>-2.797778772</v>
      </c>
      <c r="F226" s="85">
        <f>(Routed_M_P*($B226*Prof3-(1-$B226)*Rent_Unsold)-Maint_P)/10^7</f>
        <v>-3.727017814</v>
      </c>
      <c r="G226" s="85">
        <f>SUM(D$224:D226)-OneTime_P/10^7</f>
        <v>-7.117421685</v>
      </c>
      <c r="H226" s="85">
        <f>SUM(E$224:E226)-OneTime_P/10^7</f>
        <v>-9.41318873</v>
      </c>
      <c r="I226" s="85">
        <f>SUM(F$224:F226)-OneTime_P/10^7</f>
        <v>-11.70895578</v>
      </c>
      <c r="J226" s="85">
        <f>G226+$C226*RTO_Avoid_Sale/100</f>
        <v>20.43178286</v>
      </c>
      <c r="K226" s="85">
        <f>H226+$C226*RTO_Avoid_Sale/100</f>
        <v>18.13601582</v>
      </c>
      <c r="L226" s="85">
        <f>I226+$C226*RTO_Avoid_Sale/100</f>
        <v>15.84024877</v>
      </c>
    </row>
    <row r="227">
      <c r="A227" s="84">
        <v>4.0</v>
      </c>
      <c r="B227" s="17">
        <f>IF(A227&lt;=12,ST_M1+(ST_M12-ST_M1)*(A227-1)/11,IF(A227&lt;=36,ST_M12+(ST_M36-ST_M12)*(A227-12)/24,ST_M36))</f>
        <v>0.09090909091</v>
      </c>
      <c r="C227" s="81">
        <f>Routed_M_P*SUM(B$224:B227)/10^5</f>
        <v>33.88989448</v>
      </c>
      <c r="D227" s="85">
        <f>(Routed_M_P*($B227*Prof1-(1-$B227)*Rent_Unsold)-Maint_P)/10^7</f>
        <v>-1.704605564</v>
      </c>
      <c r="E227" s="85">
        <f>(Routed_M_P*($B227*Prof2-(1-$B227)*Rent_Unsold)-Maint_P)/10^7</f>
        <v>-2.797827967</v>
      </c>
      <c r="F227" s="85">
        <f>(Routed_M_P*($B227*Prof3-(1-$B227)*Rent_Unsold)-Maint_P)/10^7</f>
        <v>-3.891050369</v>
      </c>
      <c r="G227" s="85">
        <f>SUM(D$224:D227)-OneTime_P/10^7</f>
        <v>-8.822027249</v>
      </c>
      <c r="H227" s="85">
        <f>SUM(E$224:E227)-OneTime_P/10^7</f>
        <v>-12.2110167</v>
      </c>
      <c r="I227" s="85">
        <f>SUM(F$224:F227)-OneTime_P/10^7</f>
        <v>-15.60000614</v>
      </c>
      <c r="J227" s="85">
        <f>G227+$C227*RTO_Avoid_Sale/100</f>
        <v>31.84584613</v>
      </c>
      <c r="K227" s="85">
        <f>H227+$C227*RTO_Avoid_Sale/100</f>
        <v>28.45685668</v>
      </c>
      <c r="L227" s="85">
        <f>I227+$C227*RTO_Avoid_Sale/100</f>
        <v>25.06786723</v>
      </c>
    </row>
    <row r="228">
      <c r="A228" s="84">
        <v>5.0</v>
      </c>
      <c r="B228" s="17">
        <f>IF(A228&lt;=12,ST_M1+(ST_M12-ST_M1)*(A228-1)/11,IF(A228&lt;=36,ST_M12+(ST_M36-ST_M12)*(A228-12)/24,ST_M36))</f>
        <v>0.1045454545</v>
      </c>
      <c r="C228" s="81">
        <f>Routed_M_P*SUM(B$224:B228)/10^5</f>
        <v>46.46195211</v>
      </c>
      <c r="D228" s="85">
        <f>(Routed_M_P*($B228*Prof1-(1-$B228)*Rent_Unsold)-Maint_P)/10^7</f>
        <v>-1.540671399</v>
      </c>
      <c r="E228" s="85">
        <f>(Routed_M_P*($B228*Prof2-(1-$B228)*Rent_Unsold)-Maint_P)/10^7</f>
        <v>-2.797877162</v>
      </c>
      <c r="F228" s="85">
        <f>(Routed_M_P*($B228*Prof3-(1-$B228)*Rent_Unsold)-Maint_P)/10^7</f>
        <v>-4.055082925</v>
      </c>
      <c r="G228" s="85">
        <f>SUM(D$224:D228)-OneTime_P/10^7</f>
        <v>-10.36269865</v>
      </c>
      <c r="H228" s="85">
        <f>SUM(E$224:E228)-OneTime_P/10^7</f>
        <v>-15.00889386</v>
      </c>
      <c r="I228" s="85">
        <f>SUM(F$224:F228)-OneTime_P/10^7</f>
        <v>-19.65508907</v>
      </c>
      <c r="J228" s="85">
        <f>G228+$C228*RTO_Avoid_Sale/100</f>
        <v>45.39164388</v>
      </c>
      <c r="K228" s="85">
        <f>H228+$C228*RTO_Avoid_Sale/100</f>
        <v>40.74544867</v>
      </c>
      <c r="L228" s="85">
        <f>I228+$C228*RTO_Avoid_Sale/100</f>
        <v>36.09925346</v>
      </c>
    </row>
    <row r="229">
      <c r="A229" s="84">
        <v>6.0</v>
      </c>
      <c r="B229" s="17">
        <f>IF(A229&lt;=12,ST_M1+(ST_M12-ST_M1)*(A229-1)/11,IF(A229&lt;=36,ST_M12+(ST_M36-ST_M12)*(A229-12)/24,ST_M36))</f>
        <v>0.1181818182</v>
      </c>
      <c r="C229" s="81">
        <f>Routed_M_P*SUM(B$224:B229)/10^5</f>
        <v>60.67384334</v>
      </c>
      <c r="D229" s="85">
        <f>(Routed_M_P*($B229*Prof1-(1-$B229)*Rent_Unsold)-Maint_P)/10^7</f>
        <v>-1.376737233</v>
      </c>
      <c r="E229" s="85">
        <f>(Routed_M_P*($B229*Prof2-(1-$B229)*Rent_Unsold)-Maint_P)/10^7</f>
        <v>-2.797926357</v>
      </c>
      <c r="F229" s="85">
        <f>(Routed_M_P*($B229*Prof3-(1-$B229)*Rent_Unsold)-Maint_P)/10^7</f>
        <v>-4.21911548</v>
      </c>
      <c r="G229" s="85">
        <f>SUM(D$224:D229)-OneTime_P/10^7</f>
        <v>-11.73943588</v>
      </c>
      <c r="H229" s="85">
        <f>SUM(E$224:E229)-OneTime_P/10^7</f>
        <v>-17.80682022</v>
      </c>
      <c r="I229" s="85">
        <f>SUM(F$224:F229)-OneTime_P/10^7</f>
        <v>-23.87420455</v>
      </c>
      <c r="J229" s="85">
        <f>G229+$C229*RTO_Avoid_Sale/100</f>
        <v>61.06917613</v>
      </c>
      <c r="K229" s="85">
        <f>H229+$C229*RTO_Avoid_Sale/100</f>
        <v>55.0017918</v>
      </c>
      <c r="L229" s="85">
        <f>I229+$C229*RTO_Avoid_Sale/100</f>
        <v>48.93440746</v>
      </c>
    </row>
    <row r="230">
      <c r="A230" s="84">
        <v>7.0</v>
      </c>
      <c r="B230" s="17">
        <f>IF(A230&lt;=12,ST_M1+(ST_M12-ST_M1)*(A230-1)/11,IF(A230&lt;=36,ST_M12+(ST_M36-ST_M12)*(A230-12)/24,ST_M36))</f>
        <v>0.1318181818</v>
      </c>
      <c r="C230" s="81">
        <f>Routed_M_P*SUM(B$224:B230)/10^5</f>
        <v>76.52556818</v>
      </c>
      <c r="D230" s="85">
        <f>(Routed_M_P*($B230*Prof1-(1-$B230)*Rent_Unsold)-Maint_P)/10^7</f>
        <v>-1.212803068</v>
      </c>
      <c r="E230" s="85">
        <f>(Routed_M_P*($B230*Prof2-(1-$B230)*Rent_Unsold)-Maint_P)/10^7</f>
        <v>-2.797975552</v>
      </c>
      <c r="F230" s="85">
        <f>(Routed_M_P*($B230*Prof3-(1-$B230)*Rent_Unsold)-Maint_P)/10^7</f>
        <v>-4.383148036</v>
      </c>
      <c r="G230" s="85">
        <f>SUM(D$224:D230)-OneTime_P/10^7</f>
        <v>-12.95223895</v>
      </c>
      <c r="H230" s="85">
        <f>SUM(E$224:E230)-OneTime_P/10^7</f>
        <v>-20.60479577</v>
      </c>
      <c r="I230" s="85">
        <f>SUM(F$224:F230)-OneTime_P/10^7</f>
        <v>-28.25735259</v>
      </c>
      <c r="J230" s="85">
        <f>G230+$C230*RTO_Avoid_Sale/100</f>
        <v>78.87844287</v>
      </c>
      <c r="K230" s="85">
        <f>H230+$C230*RTO_Avoid_Sale/100</f>
        <v>71.22588605</v>
      </c>
      <c r="L230" s="85">
        <f>I230+$C230*RTO_Avoid_Sale/100</f>
        <v>63.57332923</v>
      </c>
    </row>
    <row r="231">
      <c r="A231" s="84">
        <v>8.0</v>
      </c>
      <c r="B231" s="17">
        <f>IF(A231&lt;=12,ST_M1+(ST_M12-ST_M1)*(A231-1)/11,IF(A231&lt;=36,ST_M12+(ST_M36-ST_M12)*(A231-12)/24,ST_M36))</f>
        <v>0.1454545455</v>
      </c>
      <c r="C231" s="81">
        <f>Routed_M_P*SUM(B$224:B231)/10^5</f>
        <v>94.01712662</v>
      </c>
      <c r="D231" s="85">
        <f>(Routed_M_P*($B231*Prof1-(1-$B231)*Rent_Unsold)-Maint_P)/10^7</f>
        <v>-1.048868903</v>
      </c>
      <c r="E231" s="85">
        <f>(Routed_M_P*($B231*Prof2-(1-$B231)*Rent_Unsold)-Maint_P)/10^7</f>
        <v>-2.798024747</v>
      </c>
      <c r="F231" s="85">
        <f>(Routed_M_P*($B231*Prof3-(1-$B231)*Rent_Unsold)-Maint_P)/10^7</f>
        <v>-4.547180591</v>
      </c>
      <c r="G231" s="85">
        <f>SUM(D$224:D231)-OneTime_P/10^7</f>
        <v>-14.00110785</v>
      </c>
      <c r="H231" s="85">
        <f>SUM(E$224:E231)-OneTime_P/10^7</f>
        <v>-23.40282051</v>
      </c>
      <c r="I231" s="85">
        <f>SUM(F$224:F231)-OneTime_P/10^7</f>
        <v>-32.80453318</v>
      </c>
      <c r="J231" s="85">
        <f>G231+$C231*RTO_Avoid_Sale/100</f>
        <v>98.8194441</v>
      </c>
      <c r="K231" s="85">
        <f>H231+$C231*RTO_Avoid_Sale/100</f>
        <v>89.41773143</v>
      </c>
      <c r="L231" s="85">
        <f>I231+$C231*RTO_Avoid_Sale/100</f>
        <v>80.01601877</v>
      </c>
    </row>
    <row r="232">
      <c r="A232" s="84">
        <v>9.0</v>
      </c>
      <c r="B232" s="17">
        <f>IF(A232&lt;=12,ST_M1+(ST_M12-ST_M1)*(A232-1)/11,IF(A232&lt;=36,ST_M12+(ST_M36-ST_M12)*(A232-12)/24,ST_M36))</f>
        <v>0.1590909091</v>
      </c>
      <c r="C232" s="81">
        <f>Routed_M_P*SUM(B$224:B232)/10^5</f>
        <v>113.1485187</v>
      </c>
      <c r="D232" s="85">
        <f>(Routed_M_P*($B232*Prof1-(1-$B232)*Rent_Unsold)-Maint_P)/10^7</f>
        <v>-0.8849347372</v>
      </c>
      <c r="E232" s="85">
        <f>(Routed_M_P*($B232*Prof2-(1-$B232)*Rent_Unsold)-Maint_P)/10^7</f>
        <v>-2.798073942</v>
      </c>
      <c r="F232" s="85">
        <f>(Routed_M_P*($B232*Prof3-(1-$B232)*Rent_Unsold)-Maint_P)/10^7</f>
        <v>-4.711213146</v>
      </c>
      <c r="G232" s="85">
        <f>SUM(D$224:D232)-OneTime_P/10^7</f>
        <v>-14.88604259</v>
      </c>
      <c r="H232" s="85">
        <f>SUM(E$224:E232)-OneTime_P/10^7</f>
        <v>-26.20089446</v>
      </c>
      <c r="I232" s="85">
        <f>SUM(F$224:F232)-OneTime_P/10^7</f>
        <v>-37.51574632</v>
      </c>
      <c r="J232" s="85">
        <f>G232+$C232*RTO_Avoid_Sale/100</f>
        <v>120.8921798</v>
      </c>
      <c r="K232" s="85">
        <f>H232+$C232*RTO_Avoid_Sale/100</f>
        <v>109.5773279</v>
      </c>
      <c r="L232" s="85">
        <f>I232+$C232*RTO_Avoid_Sale/100</f>
        <v>98.26247608</v>
      </c>
    </row>
    <row r="233">
      <c r="A233" s="84">
        <v>10.0</v>
      </c>
      <c r="B233" s="17">
        <f>IF(A233&lt;=12,ST_M1+(ST_M12-ST_M1)*(A233-1)/11,IF(A233&lt;=36,ST_M12+(ST_M36-ST_M12)*(A233-12)/24,ST_M36))</f>
        <v>0.1727272727</v>
      </c>
      <c r="C233" s="81">
        <f>Routed_M_P*SUM(B$224:B233)/10^5</f>
        <v>133.9197443</v>
      </c>
      <c r="D233" s="85">
        <f>(Routed_M_P*($B233*Prof1-(1-$B233)*Rent_Unsold)-Maint_P)/10^7</f>
        <v>-0.7210005718</v>
      </c>
      <c r="E233" s="85">
        <f>(Routed_M_P*($B233*Prof2-(1-$B233)*Rent_Unsold)-Maint_P)/10^7</f>
        <v>-2.798123137</v>
      </c>
      <c r="F233" s="85">
        <f>(Routed_M_P*($B233*Prof3-(1-$B233)*Rent_Unsold)-Maint_P)/10^7</f>
        <v>-4.875245702</v>
      </c>
      <c r="G233" s="85">
        <f>SUM(D$224:D233)-OneTime_P/10^7</f>
        <v>-15.60704316</v>
      </c>
      <c r="H233" s="85">
        <f>SUM(E$224:E233)-OneTime_P/10^7</f>
        <v>-28.99901759</v>
      </c>
      <c r="I233" s="85">
        <f>SUM(F$224:F233)-OneTime_P/10^7</f>
        <v>-42.39099202</v>
      </c>
      <c r="J233" s="85">
        <f>G233+$C233*RTO_Avoid_Sale/100</f>
        <v>145.09665</v>
      </c>
      <c r="K233" s="85">
        <f>H233+$C233*RTO_Avoid_Sale/100</f>
        <v>131.7046756</v>
      </c>
      <c r="L233" s="85">
        <f>I233+$C233*RTO_Avoid_Sale/100</f>
        <v>118.3127012</v>
      </c>
    </row>
    <row r="234">
      <c r="A234" s="84">
        <v>11.0</v>
      </c>
      <c r="B234" s="17">
        <f>IF(A234&lt;=12,ST_M1+(ST_M12-ST_M1)*(A234-1)/11,IF(A234&lt;=36,ST_M12+(ST_M36-ST_M12)*(A234-12)/24,ST_M36))</f>
        <v>0.1863636364</v>
      </c>
      <c r="C234" s="81">
        <f>Routed_M_P*SUM(B$224:B234)/10^5</f>
        <v>156.3308036</v>
      </c>
      <c r="D234" s="85">
        <f>(Routed_M_P*($B234*Prof1-(1-$B234)*Rent_Unsold)-Maint_P)/10^7</f>
        <v>-0.5570664065</v>
      </c>
      <c r="E234" s="85">
        <f>(Routed_M_P*($B234*Prof2-(1-$B234)*Rent_Unsold)-Maint_P)/10^7</f>
        <v>-2.798172332</v>
      </c>
      <c r="F234" s="85">
        <f>(Routed_M_P*($B234*Prof3-(1-$B234)*Rent_Unsold)-Maint_P)/10^7</f>
        <v>-5.039278257</v>
      </c>
      <c r="G234" s="85">
        <f>SUM(D$224:D234)-OneTime_P/10^7</f>
        <v>-16.16410957</v>
      </c>
      <c r="H234" s="85">
        <f>SUM(E$224:E234)-OneTime_P/10^7</f>
        <v>-31.79718992</v>
      </c>
      <c r="I234" s="85">
        <f>SUM(F$224:F234)-OneTime_P/10^7</f>
        <v>-47.43027028</v>
      </c>
      <c r="J234" s="85">
        <f>G234+$C234*RTO_Avoid_Sale/100</f>
        <v>171.4328547</v>
      </c>
      <c r="K234" s="85">
        <f>H234+$C234*RTO_Avoid_Sale/100</f>
        <v>155.7997744</v>
      </c>
      <c r="L234" s="85">
        <f>I234+$C234*RTO_Avoid_Sale/100</f>
        <v>140.166694</v>
      </c>
    </row>
    <row r="235">
      <c r="A235" s="84">
        <v>12.0</v>
      </c>
      <c r="B235" s="17">
        <f>IF(A235&lt;=12,ST_M1+(ST_M12-ST_M1)*(A235-1)/11,IF(A235&lt;=36,ST_M12+(ST_M36-ST_M12)*(A235-12)/24,ST_M36))</f>
        <v>0.2</v>
      </c>
      <c r="C235" s="81">
        <f>Routed_M_P*SUM(B$224:B235)/10^5</f>
        <v>180.3816964</v>
      </c>
      <c r="D235" s="85">
        <f>(Routed_M_P*($B235*Prof1-(1-$B235)*Rent_Unsold)-Maint_P)/10^7</f>
        <v>-0.3931322411</v>
      </c>
      <c r="E235" s="85">
        <f>(Routed_M_P*($B235*Prof2-(1-$B235)*Rent_Unsold)-Maint_P)/10^7</f>
        <v>-2.798221527</v>
      </c>
      <c r="F235" s="85">
        <f>(Routed_M_P*($B235*Prof3-(1-$B235)*Rent_Unsold)-Maint_P)/10^7</f>
        <v>-5.203310813</v>
      </c>
      <c r="G235" s="85">
        <f>SUM(D$224:D235)-OneTime_P/10^7</f>
        <v>-16.55724181</v>
      </c>
      <c r="H235" s="85">
        <f>SUM(E$224:E235)-OneTime_P/10^7</f>
        <v>-34.59541145</v>
      </c>
      <c r="I235" s="85">
        <f>SUM(F$224:F235)-OneTime_P/10^7</f>
        <v>-52.63358109</v>
      </c>
      <c r="J235" s="85">
        <f>G235+$C235*RTO_Avoid_Sale/100</f>
        <v>199.9007939</v>
      </c>
      <c r="K235" s="85">
        <f>H235+$C235*RTO_Avoid_Sale/100</f>
        <v>181.8626243</v>
      </c>
      <c r="L235" s="85">
        <f>I235+$C235*RTO_Avoid_Sale/100</f>
        <v>163.8244546</v>
      </c>
    </row>
    <row r="236">
      <c r="A236" s="84">
        <v>13.0</v>
      </c>
      <c r="B236" s="17">
        <f>IF(A236&lt;=12,ST_M1+(ST_M12-ST_M1)*(A236-1)/11,IF(A236&lt;=36,ST_M12+(ST_M36-ST_M12)*(A236-12)/24,ST_M36))</f>
        <v>0.2072916667</v>
      </c>
      <c r="C236" s="81">
        <f>Routed_M_P*SUM(B$224:B236)/10^5</f>
        <v>205.3094448</v>
      </c>
      <c r="D236" s="85">
        <f>(Routed_M_P*($B236*Prof1-(1-$B236)*Rent_Unsold)-Maint_P)/10^7</f>
        <v>-0.3054729999</v>
      </c>
      <c r="E236" s="85">
        <f>(Routed_M_P*($B236*Prof2-(1-$B236)*Rent_Unsold)-Maint_P)/10^7</f>
        <v>-2.798247832</v>
      </c>
      <c r="F236" s="85">
        <f>(Routed_M_P*($B236*Prof3-(1-$B236)*Rent_Unsold)-Maint_P)/10^7</f>
        <v>-5.291022665</v>
      </c>
      <c r="G236" s="85">
        <f>SUM(D$224:D236)-OneTime_P/10^7</f>
        <v>-16.86271481</v>
      </c>
      <c r="H236" s="85">
        <f>SUM(E$224:E236)-OneTime_P/10^7</f>
        <v>-37.39365928</v>
      </c>
      <c r="I236" s="85">
        <f>SUM(F$224:F236)-OneTime_P/10^7</f>
        <v>-57.92460376</v>
      </c>
      <c r="J236" s="85">
        <f>G236+$C236*RTO_Avoid_Sale/100</f>
        <v>229.5086189</v>
      </c>
      <c r="K236" s="85">
        <f>H236+$C236*RTO_Avoid_Sale/100</f>
        <v>208.9776744</v>
      </c>
      <c r="L236" s="85">
        <f>I236+$C236*RTO_Avoid_Sale/100</f>
        <v>188.4467299</v>
      </c>
    </row>
    <row r="237">
      <c r="A237" s="84">
        <v>14.0</v>
      </c>
      <c r="B237" s="17">
        <f>IF(A237&lt;=12,ST_M1+(ST_M12-ST_M1)*(A237-1)/11,IF(A237&lt;=36,ST_M12+(ST_M36-ST_M12)*(A237-12)/24,ST_M36))</f>
        <v>0.2145833333</v>
      </c>
      <c r="C237" s="81">
        <f>Routed_M_P*SUM(B$224:B237)/10^5</f>
        <v>231.1140485</v>
      </c>
      <c r="D237" s="85">
        <f>(Routed_M_P*($B237*Prof1-(1-$B237)*Rent_Unsold)-Maint_P)/10^7</f>
        <v>-0.2178137586</v>
      </c>
      <c r="E237" s="85">
        <f>(Routed_M_P*($B237*Prof2-(1-$B237)*Rent_Unsold)-Maint_P)/10^7</f>
        <v>-2.798274138</v>
      </c>
      <c r="F237" s="85">
        <f>(Routed_M_P*($B237*Prof3-(1-$B237)*Rent_Unsold)-Maint_P)/10^7</f>
        <v>-5.378734518</v>
      </c>
      <c r="G237" s="85">
        <f>SUM(D$224:D237)-OneTime_P/10^7</f>
        <v>-17.08052857</v>
      </c>
      <c r="H237" s="85">
        <f>SUM(E$224:E237)-OneTime_P/10^7</f>
        <v>-40.19193342</v>
      </c>
      <c r="I237" s="85">
        <f>SUM(F$224:F237)-OneTime_P/10^7</f>
        <v>-63.30333828</v>
      </c>
      <c r="J237" s="85">
        <f>G237+$C237*RTO_Avoid_Sale/100</f>
        <v>260.2563297</v>
      </c>
      <c r="K237" s="85">
        <f>H237+$C237*RTO_Avoid_Sale/100</f>
        <v>237.1449248</v>
      </c>
      <c r="L237" s="85">
        <f>I237+$C237*RTO_Avoid_Sale/100</f>
        <v>214.03352</v>
      </c>
    </row>
    <row r="238">
      <c r="A238" s="84">
        <v>15.0</v>
      </c>
      <c r="B238" s="17">
        <f>IF(A238&lt;=12,ST_M1+(ST_M12-ST_M1)*(A238-1)/11,IF(A238&lt;=36,ST_M12+(ST_M36-ST_M12)*(A238-12)/24,ST_M36))</f>
        <v>0.221875</v>
      </c>
      <c r="C238" s="81">
        <f>Routed_M_P*SUM(B$224:B238)/10^5</f>
        <v>257.7955078</v>
      </c>
      <c r="D238" s="85">
        <f>(Routed_M_P*($B238*Prof1-(1-$B238)*Rent_Unsold)-Maint_P)/10^7</f>
        <v>-0.1301545174</v>
      </c>
      <c r="E238" s="85">
        <f>(Routed_M_P*($B238*Prof2-(1-$B238)*Rent_Unsold)-Maint_P)/10^7</f>
        <v>-2.798300444</v>
      </c>
      <c r="F238" s="85">
        <f>(Routed_M_P*($B238*Prof3-(1-$B238)*Rent_Unsold)-Maint_P)/10^7</f>
        <v>-5.46644637</v>
      </c>
      <c r="G238" s="85">
        <f>SUM(D$224:D238)-OneTime_P/10^7</f>
        <v>-17.21068308</v>
      </c>
      <c r="H238" s="85">
        <f>SUM(E$224:E238)-OneTime_P/10^7</f>
        <v>-42.99023387</v>
      </c>
      <c r="I238" s="85">
        <f>SUM(F$224:F238)-OneTime_P/10^7</f>
        <v>-68.76978465</v>
      </c>
      <c r="J238" s="85">
        <f>G238+$C238*RTO_Avoid_Sale/100</f>
        <v>292.1439263</v>
      </c>
      <c r="K238" s="85">
        <f>H238+$C238*RTO_Avoid_Sale/100</f>
        <v>266.3643755</v>
      </c>
      <c r="L238" s="85">
        <f>I238+$C238*RTO_Avoid_Sale/100</f>
        <v>240.5848247</v>
      </c>
    </row>
    <row r="239">
      <c r="A239" s="84">
        <v>16.0</v>
      </c>
      <c r="B239" s="17">
        <f>IF(A239&lt;=12,ST_M1+(ST_M12-ST_M1)*(A239-1)/11,IF(A239&lt;=36,ST_M12+(ST_M36-ST_M12)*(A239-12)/24,ST_M36))</f>
        <v>0.2291666667</v>
      </c>
      <c r="C239" s="81">
        <f>Routed_M_P*SUM(B$224:B239)/10^5</f>
        <v>285.3538225</v>
      </c>
      <c r="D239" s="85">
        <f>(Routed_M_P*($B239*Prof1-(1-$B239)*Rent_Unsold)-Maint_P)/10^7</f>
        <v>-0.04249527623</v>
      </c>
      <c r="E239" s="85">
        <f>(Routed_M_P*($B239*Prof2-(1-$B239)*Rent_Unsold)-Maint_P)/10^7</f>
        <v>-2.798326749</v>
      </c>
      <c r="F239" s="85">
        <f>(Routed_M_P*($B239*Prof3-(1-$B239)*Rent_Unsold)-Maint_P)/10^7</f>
        <v>-5.554158223</v>
      </c>
      <c r="G239" s="85">
        <f>SUM(D$224:D239)-OneTime_P/10^7</f>
        <v>-17.25317836</v>
      </c>
      <c r="H239" s="85">
        <f>SUM(E$224:E239)-OneTime_P/10^7</f>
        <v>-45.78856061</v>
      </c>
      <c r="I239" s="85">
        <f>SUM(F$224:F239)-OneTime_P/10^7</f>
        <v>-74.32394287</v>
      </c>
      <c r="J239" s="85">
        <f>G239+$C239*RTO_Avoid_Sale/100</f>
        <v>325.1714087</v>
      </c>
      <c r="K239" s="85">
        <f>H239+$C239*RTO_Avoid_Sale/100</f>
        <v>296.6360264</v>
      </c>
      <c r="L239" s="85">
        <f>I239+$C239*RTO_Avoid_Sale/100</f>
        <v>268.1006442</v>
      </c>
    </row>
    <row r="240">
      <c r="A240" s="84">
        <v>17.0</v>
      </c>
      <c r="B240" s="17">
        <f>IF(A240&lt;=12,ST_M1+(ST_M12-ST_M1)*(A240-1)/11,IF(A240&lt;=36,ST_M12+(ST_M36-ST_M12)*(A240-12)/24,ST_M36))</f>
        <v>0.2364583333</v>
      </c>
      <c r="C240" s="81">
        <f>Routed_M_P*SUM(B$224:B240)/10^5</f>
        <v>313.7889927</v>
      </c>
      <c r="D240" s="85">
        <f>(Routed_M_P*($B240*Prof1-(1-$B240)*Rent_Unsold)-Maint_P)/10^7</f>
        <v>0.04516396498</v>
      </c>
      <c r="E240" s="85">
        <f>(Routed_M_P*($B240*Prof2-(1-$B240)*Rent_Unsold)-Maint_P)/10^7</f>
        <v>-2.798353055</v>
      </c>
      <c r="F240" s="85">
        <f>(Routed_M_P*($B240*Prof3-(1-$B240)*Rent_Unsold)-Maint_P)/10^7</f>
        <v>-5.641870075</v>
      </c>
      <c r="G240" s="85">
        <f>SUM(D$224:D240)-OneTime_P/10^7</f>
        <v>-17.2080144</v>
      </c>
      <c r="H240" s="85">
        <f>SUM(E$224:E240)-OneTime_P/10^7</f>
        <v>-48.58691367</v>
      </c>
      <c r="I240" s="85">
        <f>SUM(F$224:F240)-OneTime_P/10^7</f>
        <v>-79.96581294</v>
      </c>
      <c r="J240" s="85">
        <f>G240+$C240*RTO_Avoid_Sale/100</f>
        <v>359.3387769</v>
      </c>
      <c r="K240" s="85">
        <f>H240+$C240*RTO_Avoid_Sale/100</f>
        <v>327.9598776</v>
      </c>
      <c r="L240" s="85">
        <f>I240+$C240*RTO_Avoid_Sale/100</f>
        <v>296.5809784</v>
      </c>
    </row>
    <row r="241">
      <c r="A241" s="84">
        <v>18.0</v>
      </c>
      <c r="B241" s="17">
        <f>IF(A241&lt;=12,ST_M1+(ST_M12-ST_M1)*(A241-1)/11,IF(A241&lt;=36,ST_M12+(ST_M36-ST_M12)*(A241-12)/24,ST_M36))</f>
        <v>0.24375</v>
      </c>
      <c r="C241" s="81">
        <f>Routed_M_P*SUM(B$224:B241)/10^5</f>
        <v>343.1010184</v>
      </c>
      <c r="D241" s="85">
        <f>(Routed_M_P*($B241*Prof1-(1-$B241)*Rent_Unsold)-Maint_P)/10^7</f>
        <v>0.1328232062</v>
      </c>
      <c r="E241" s="85">
        <f>(Routed_M_P*($B241*Prof2-(1-$B241)*Rent_Unsold)-Maint_P)/10^7</f>
        <v>-2.798379361</v>
      </c>
      <c r="F241" s="85">
        <f>(Routed_M_P*($B241*Prof3-(1-$B241)*Rent_Unsold)-Maint_P)/10^7</f>
        <v>-5.729581928</v>
      </c>
      <c r="G241" s="85">
        <f>SUM(D$224:D241)-OneTime_P/10^7</f>
        <v>-17.07519119</v>
      </c>
      <c r="H241" s="85">
        <f>SUM(E$224:E241)-OneTime_P/10^7</f>
        <v>-51.38529303</v>
      </c>
      <c r="I241" s="85">
        <f>SUM(F$224:F241)-OneTime_P/10^7</f>
        <v>-85.69539487</v>
      </c>
      <c r="J241" s="85">
        <f>G241+$C241*RTO_Avoid_Sale/100</f>
        <v>394.6460309</v>
      </c>
      <c r="K241" s="85">
        <f>H241+$C241*RTO_Avoid_Sale/100</f>
        <v>360.3359291</v>
      </c>
      <c r="L241" s="85">
        <f>I241+$C241*RTO_Avoid_Sale/100</f>
        <v>326.0258272</v>
      </c>
    </row>
    <row r="242">
      <c r="A242" s="84">
        <v>19.0</v>
      </c>
      <c r="B242" s="17">
        <f>IF(A242&lt;=12,ST_M1+(ST_M12-ST_M1)*(A242-1)/11,IF(A242&lt;=36,ST_M12+(ST_M36-ST_M12)*(A242-12)/24,ST_M36))</f>
        <v>0.2510416667</v>
      </c>
      <c r="C242" s="81">
        <f>Routed_M_P*SUM(B$224:B242)/10^5</f>
        <v>373.2898996</v>
      </c>
      <c r="D242" s="85">
        <f>(Routed_M_P*($B242*Prof1-(1-$B242)*Rent_Unsold)-Maint_P)/10^7</f>
        <v>0.2204824474</v>
      </c>
      <c r="E242" s="85">
        <f>(Routed_M_P*($B242*Prof2-(1-$B242)*Rent_Unsold)-Maint_P)/10^7</f>
        <v>-2.798405666</v>
      </c>
      <c r="F242" s="85">
        <f>(Routed_M_P*($B242*Prof3-(1-$B242)*Rent_Unsold)-Maint_P)/10^7</f>
        <v>-5.81729378</v>
      </c>
      <c r="G242" s="85">
        <f>SUM(D$224:D242)-OneTime_P/10^7</f>
        <v>-16.85470874</v>
      </c>
      <c r="H242" s="85">
        <f>SUM(E$224:E242)-OneTime_P/10^7</f>
        <v>-54.1836987</v>
      </c>
      <c r="I242" s="85">
        <f>SUM(F$224:F242)-OneTime_P/10^7</f>
        <v>-91.51268865</v>
      </c>
      <c r="J242" s="85">
        <f>G242+$C242*RTO_Avoid_Sale/100</f>
        <v>431.0931707</v>
      </c>
      <c r="K242" s="85">
        <f>H242+$C242*RTO_Avoid_Sale/100</f>
        <v>393.7641808</v>
      </c>
      <c r="L242" s="85">
        <f>I242+$C242*RTO_Avoid_Sale/100</f>
        <v>356.4351908</v>
      </c>
    </row>
    <row r="243">
      <c r="A243" s="84">
        <v>20.0</v>
      </c>
      <c r="B243" s="17">
        <f>IF(A243&lt;=12,ST_M1+(ST_M12-ST_M1)*(A243-1)/11,IF(A243&lt;=36,ST_M12+(ST_M36-ST_M12)*(A243-12)/24,ST_M36))</f>
        <v>0.2583333333</v>
      </c>
      <c r="C243" s="81">
        <f>Routed_M_P*SUM(B$224:B243)/10^5</f>
        <v>404.3556362</v>
      </c>
      <c r="D243" s="85">
        <f>(Routed_M_P*($B243*Prof1-(1-$B243)*Rent_Unsold)-Maint_P)/10^7</f>
        <v>0.3081416886</v>
      </c>
      <c r="E243" s="85">
        <f>(Routed_M_P*($B243*Prof2-(1-$B243)*Rent_Unsold)-Maint_P)/10^7</f>
        <v>-2.798431972</v>
      </c>
      <c r="F243" s="85">
        <f>(Routed_M_P*($B243*Prof3-(1-$B243)*Rent_Unsold)-Maint_P)/10^7</f>
        <v>-5.905005633</v>
      </c>
      <c r="G243" s="85">
        <f>SUM(D$224:D243)-OneTime_P/10^7</f>
        <v>-16.54656705</v>
      </c>
      <c r="H243" s="85">
        <f>SUM(E$224:E243)-OneTime_P/10^7</f>
        <v>-56.98213067</v>
      </c>
      <c r="I243" s="85">
        <f>SUM(F$224:F243)-OneTime_P/10^7</f>
        <v>-97.41769429</v>
      </c>
      <c r="J243" s="85">
        <f>G243+$C243*RTO_Avoid_Sale/100</f>
        <v>468.6801963</v>
      </c>
      <c r="K243" s="85">
        <f>H243+$C243*RTO_Avoid_Sale/100</f>
        <v>428.2446327</v>
      </c>
      <c r="L243" s="85">
        <f>I243+$C243*RTO_Avoid_Sale/100</f>
        <v>387.8090691</v>
      </c>
    </row>
    <row r="244">
      <c r="A244" s="84">
        <v>21.0</v>
      </c>
      <c r="B244" s="17">
        <f>IF(A244&lt;=12,ST_M1+(ST_M12-ST_M1)*(A244-1)/11,IF(A244&lt;=36,ST_M12+(ST_M36-ST_M12)*(A244-12)/24,ST_M36))</f>
        <v>0.265625</v>
      </c>
      <c r="C244" s="81">
        <f>Routed_M_P*SUM(B$224:B244)/10^5</f>
        <v>436.2982282</v>
      </c>
      <c r="D244" s="85">
        <f>(Routed_M_P*($B244*Prof1-(1-$B244)*Rent_Unsold)-Maint_P)/10^7</f>
        <v>0.3958009298</v>
      </c>
      <c r="E244" s="85">
        <f>(Routed_M_P*($B244*Prof2-(1-$B244)*Rent_Unsold)-Maint_P)/10^7</f>
        <v>-2.798458278</v>
      </c>
      <c r="F244" s="85">
        <f>(Routed_M_P*($B244*Prof3-(1-$B244)*Rent_Unsold)-Maint_P)/10^7</f>
        <v>-5.992717485</v>
      </c>
      <c r="G244" s="85">
        <f>SUM(D$224:D244)-OneTime_P/10^7</f>
        <v>-16.15076612</v>
      </c>
      <c r="H244" s="85">
        <f>SUM(E$224:E244)-OneTime_P/10^7</f>
        <v>-59.78058895</v>
      </c>
      <c r="I244" s="85">
        <f>SUM(F$224:F244)-OneTime_P/10^7</f>
        <v>-103.4104118</v>
      </c>
      <c r="J244" s="85">
        <f>G244+$C244*RTO_Avoid_Sale/100</f>
        <v>507.4071078</v>
      </c>
      <c r="K244" s="85">
        <f>H244+$C244*RTO_Avoid_Sale/100</f>
        <v>463.7772849</v>
      </c>
      <c r="L244" s="85">
        <f>I244+$C244*RTO_Avoid_Sale/100</f>
        <v>420.1474621</v>
      </c>
    </row>
    <row r="245">
      <c r="A245" s="84">
        <v>22.0</v>
      </c>
      <c r="B245" s="17">
        <f>IF(A245&lt;=12,ST_M1+(ST_M12-ST_M1)*(A245-1)/11,IF(A245&lt;=36,ST_M12+(ST_M36-ST_M12)*(A245-12)/24,ST_M36))</f>
        <v>0.2729166667</v>
      </c>
      <c r="C245" s="81">
        <f>Routed_M_P*SUM(B$224:B245)/10^5</f>
        <v>469.1176758</v>
      </c>
      <c r="D245" s="85">
        <f>(Routed_M_P*($B245*Prof1-(1-$B245)*Rent_Unsold)-Maint_P)/10^7</f>
        <v>0.483460171</v>
      </c>
      <c r="E245" s="85">
        <f>(Routed_M_P*($B245*Prof2-(1-$B245)*Rent_Unsold)-Maint_P)/10^7</f>
        <v>-2.798484583</v>
      </c>
      <c r="F245" s="85">
        <f>(Routed_M_P*($B245*Prof3-(1-$B245)*Rent_Unsold)-Maint_P)/10^7</f>
        <v>-6.080429338</v>
      </c>
      <c r="G245" s="85">
        <f>SUM(D$224:D245)-OneTime_P/10^7</f>
        <v>-15.66730595</v>
      </c>
      <c r="H245" s="85">
        <f>SUM(E$224:E245)-OneTime_P/10^7</f>
        <v>-62.57907353</v>
      </c>
      <c r="I245" s="85">
        <f>SUM(F$224:F245)-OneTime_P/10^7</f>
        <v>-109.4908411</v>
      </c>
      <c r="J245" s="85">
        <f>G245+$C245*RTO_Avoid_Sale/100</f>
        <v>547.273905</v>
      </c>
      <c r="K245" s="85">
        <f>H245+$C245*RTO_Avoid_Sale/100</f>
        <v>500.3621374</v>
      </c>
      <c r="L245" s="85">
        <f>I245+$C245*RTO_Avoid_Sale/100</f>
        <v>453.4503698</v>
      </c>
    </row>
    <row r="246">
      <c r="A246" s="84">
        <v>23.0</v>
      </c>
      <c r="B246" s="17">
        <f>IF(A246&lt;=12,ST_M1+(ST_M12-ST_M1)*(A246-1)/11,IF(A246&lt;=36,ST_M12+(ST_M36-ST_M12)*(A246-12)/24,ST_M36))</f>
        <v>0.2802083333</v>
      </c>
      <c r="C246" s="81">
        <f>Routed_M_P*SUM(B$224:B246)/10^5</f>
        <v>502.8139788</v>
      </c>
      <c r="D246" s="85">
        <f>(Routed_M_P*($B246*Prof1-(1-$B246)*Rent_Unsold)-Maint_P)/10^7</f>
        <v>0.5711194122</v>
      </c>
      <c r="E246" s="85">
        <f>(Routed_M_P*($B246*Prof2-(1-$B246)*Rent_Unsold)-Maint_P)/10^7</f>
        <v>-2.798510889</v>
      </c>
      <c r="F246" s="85">
        <f>(Routed_M_P*($B246*Prof3-(1-$B246)*Rent_Unsold)-Maint_P)/10^7</f>
        <v>-6.16814119</v>
      </c>
      <c r="G246" s="85">
        <f>SUM(D$224:D246)-OneTime_P/10^7</f>
        <v>-15.09618654</v>
      </c>
      <c r="H246" s="85">
        <f>SUM(E$224:E246)-OneTime_P/10^7</f>
        <v>-65.37758442</v>
      </c>
      <c r="I246" s="85">
        <f>SUM(F$224:F246)-OneTime_P/10^7</f>
        <v>-115.6589823</v>
      </c>
      <c r="J246" s="85">
        <f>G246+$C246*RTO_Avoid_Sale/100</f>
        <v>588.280588</v>
      </c>
      <c r="K246" s="85">
        <f>H246+$C246*RTO_Avoid_Sale/100</f>
        <v>537.9991901</v>
      </c>
      <c r="L246" s="85">
        <f>I246+$C246*RTO_Avoid_Sale/100</f>
        <v>487.7177923</v>
      </c>
    </row>
    <row r="247">
      <c r="A247" s="84">
        <v>24.0</v>
      </c>
      <c r="B247" s="17">
        <f>IF(A247&lt;=12,ST_M1+(ST_M12-ST_M1)*(A247-1)/11,IF(A247&lt;=36,ST_M12+(ST_M36-ST_M12)*(A247-12)/24,ST_M36))</f>
        <v>0.2875</v>
      </c>
      <c r="C247" s="81">
        <f>Routed_M_P*SUM(B$224:B247)/10^5</f>
        <v>537.3871373</v>
      </c>
      <c r="D247" s="85">
        <f>(Routed_M_P*($B247*Prof1-(1-$B247)*Rent_Unsold)-Maint_P)/10^7</f>
        <v>0.6587786535</v>
      </c>
      <c r="E247" s="85">
        <f>(Routed_M_P*($B247*Prof2-(1-$B247)*Rent_Unsold)-Maint_P)/10^7</f>
        <v>-2.798537195</v>
      </c>
      <c r="F247" s="85">
        <f>(Routed_M_P*($B247*Prof3-(1-$B247)*Rent_Unsold)-Maint_P)/10^7</f>
        <v>-6.255853043</v>
      </c>
      <c r="G247" s="85">
        <f>SUM(D$224:D247)-OneTime_P/10^7</f>
        <v>-14.43740789</v>
      </c>
      <c r="H247" s="85">
        <f>SUM(E$224:E247)-OneTime_P/10^7</f>
        <v>-68.17612161</v>
      </c>
      <c r="I247" s="85">
        <f>SUM(F$224:F247)-OneTime_P/10^7</f>
        <v>-121.9148353</v>
      </c>
      <c r="J247" s="85">
        <f>G247+$C247*RTO_Avoid_Sale/100</f>
        <v>630.4271568</v>
      </c>
      <c r="K247" s="85">
        <f>H247+$C247*RTO_Avoid_Sale/100</f>
        <v>576.6884431</v>
      </c>
      <c r="L247" s="85">
        <f>I247+$C247*RTO_Avoid_Sale/100</f>
        <v>522.9497294</v>
      </c>
    </row>
    <row r="248">
      <c r="A248" s="84">
        <v>25.0</v>
      </c>
      <c r="B248" s="17">
        <f>IF(A248&lt;=12,ST_M1+(ST_M12-ST_M1)*(A248-1)/11,IF(A248&lt;=36,ST_M12+(ST_M36-ST_M12)*(A248-12)/24,ST_M36))</f>
        <v>0.2947916667</v>
      </c>
      <c r="C248" s="81">
        <f>Routed_M_P*SUM(B$224:B248)/10^5</f>
        <v>572.8371512</v>
      </c>
      <c r="D248" s="85">
        <f>(Routed_M_P*($B248*Prof1-(1-$B248)*Rent_Unsold)-Maint_P)/10^7</f>
        <v>0.7464378947</v>
      </c>
      <c r="E248" s="85">
        <f>(Routed_M_P*($B248*Prof2-(1-$B248)*Rent_Unsold)-Maint_P)/10^7</f>
        <v>-2.7985635</v>
      </c>
      <c r="F248" s="85">
        <f>(Routed_M_P*($B248*Prof3-(1-$B248)*Rent_Unsold)-Maint_P)/10^7</f>
        <v>-6.343564896</v>
      </c>
      <c r="G248" s="85">
        <f>SUM(D$224:D248)-OneTime_P/10^7</f>
        <v>-13.69096999</v>
      </c>
      <c r="H248" s="85">
        <f>SUM(E$224:E248)-OneTime_P/10^7</f>
        <v>-70.97468511</v>
      </c>
      <c r="I248" s="85">
        <f>SUM(F$224:F248)-OneTime_P/10^7</f>
        <v>-128.2584002</v>
      </c>
      <c r="J248" s="85">
        <f>G248+$C248*RTO_Avoid_Sale/100</f>
        <v>673.7136115</v>
      </c>
      <c r="K248" s="85">
        <f>H248+$C248*RTO_Avoid_Sale/100</f>
        <v>616.4298964</v>
      </c>
      <c r="L248" s="85">
        <f>I248+$C248*RTO_Avoid_Sale/100</f>
        <v>559.1461812</v>
      </c>
    </row>
    <row r="249">
      <c r="A249" s="84">
        <v>26.0</v>
      </c>
      <c r="B249" s="17">
        <f>IF(A249&lt;=12,ST_M1+(ST_M12-ST_M1)*(A249-1)/11,IF(A249&lt;=36,ST_M12+(ST_M36-ST_M12)*(A249-12)/24,ST_M36))</f>
        <v>0.3020833333</v>
      </c>
      <c r="C249" s="81">
        <f>Routed_M_P*SUM(B$224:B249)/10^5</f>
        <v>609.1640206</v>
      </c>
      <c r="D249" s="85">
        <f>(Routed_M_P*($B249*Prof1-(1-$B249)*Rent_Unsold)-Maint_P)/10^7</f>
        <v>0.8340971359</v>
      </c>
      <c r="E249" s="85">
        <f>(Routed_M_P*($B249*Prof2-(1-$B249)*Rent_Unsold)-Maint_P)/10^7</f>
        <v>-2.798589806</v>
      </c>
      <c r="F249" s="85">
        <f>(Routed_M_P*($B249*Prof3-(1-$B249)*Rent_Unsold)-Maint_P)/10^7</f>
        <v>-6.431276748</v>
      </c>
      <c r="G249" s="85">
        <f>SUM(D$224:D249)-OneTime_P/10^7</f>
        <v>-12.85687286</v>
      </c>
      <c r="H249" s="85">
        <f>SUM(E$224:E249)-OneTime_P/10^7</f>
        <v>-73.77327492</v>
      </c>
      <c r="I249" s="85">
        <f>SUM(F$224:F249)-OneTime_P/10^7</f>
        <v>-134.689677</v>
      </c>
      <c r="J249" s="85">
        <f>G249+$C249*RTO_Avoid_Sale/100</f>
        <v>718.1399519</v>
      </c>
      <c r="K249" s="85">
        <f>H249+$C249*RTO_Avoid_Sale/100</f>
        <v>657.2235499</v>
      </c>
      <c r="L249" s="85">
        <f>I249+$C249*RTO_Avoid_Sale/100</f>
        <v>596.3071478</v>
      </c>
    </row>
    <row r="250">
      <c r="A250" s="84">
        <v>27.0</v>
      </c>
      <c r="B250" s="17">
        <f>IF(A250&lt;=12,ST_M1+(ST_M12-ST_M1)*(A250-1)/11,IF(A250&lt;=36,ST_M12+(ST_M36-ST_M12)*(A250-12)/24,ST_M36))</f>
        <v>0.309375</v>
      </c>
      <c r="C250" s="81">
        <f>Routed_M_P*SUM(B$224:B250)/10^5</f>
        <v>646.3677455</v>
      </c>
      <c r="D250" s="85">
        <f>(Routed_M_P*($B250*Prof1-(1-$B250)*Rent_Unsold)-Maint_P)/10^7</f>
        <v>0.9217563771</v>
      </c>
      <c r="E250" s="85">
        <f>(Routed_M_P*($B250*Prof2-(1-$B250)*Rent_Unsold)-Maint_P)/10^7</f>
        <v>-2.798616112</v>
      </c>
      <c r="F250" s="85">
        <f>(Routed_M_P*($B250*Prof3-(1-$B250)*Rent_Unsold)-Maint_P)/10^7</f>
        <v>-6.518988601</v>
      </c>
      <c r="G250" s="85">
        <f>SUM(D$224:D250)-OneTime_P/10^7</f>
        <v>-11.93511648</v>
      </c>
      <c r="H250" s="85">
        <f>SUM(E$224:E250)-OneTime_P/10^7</f>
        <v>-76.57189103</v>
      </c>
      <c r="I250" s="85">
        <f>SUM(F$224:F250)-OneTime_P/10^7</f>
        <v>-141.2086656</v>
      </c>
      <c r="J250" s="85">
        <f>G250+$C250*RTO_Avoid_Sale/100</f>
        <v>763.7061782</v>
      </c>
      <c r="K250" s="85">
        <f>H250+$C250*RTO_Avoid_Sale/100</f>
        <v>699.0694036</v>
      </c>
      <c r="L250" s="85">
        <f>I250+$C250*RTO_Avoid_Sale/100</f>
        <v>634.4326291</v>
      </c>
    </row>
    <row r="251">
      <c r="A251" s="84">
        <v>28.0</v>
      </c>
      <c r="B251" s="17">
        <f>IF(A251&lt;=12,ST_M1+(ST_M12-ST_M1)*(A251-1)/11,IF(A251&lt;=36,ST_M12+(ST_M36-ST_M12)*(A251-12)/24,ST_M36))</f>
        <v>0.3166666667</v>
      </c>
      <c r="C251" s="81">
        <f>Routed_M_P*SUM(B$224:B251)/10^5</f>
        <v>684.4483259</v>
      </c>
      <c r="D251" s="85">
        <f>(Routed_M_P*($B251*Prof1-(1-$B251)*Rent_Unsold)-Maint_P)/10^7</f>
        <v>1.009415618</v>
      </c>
      <c r="E251" s="85">
        <f>(Routed_M_P*($B251*Prof2-(1-$B251)*Rent_Unsold)-Maint_P)/10^7</f>
        <v>-2.798642417</v>
      </c>
      <c r="F251" s="85">
        <f>(Routed_M_P*($B251*Prof3-(1-$B251)*Rent_Unsold)-Maint_P)/10^7</f>
        <v>-6.606700453</v>
      </c>
      <c r="G251" s="85">
        <f>SUM(D$224:D251)-OneTime_P/10^7</f>
        <v>-10.92570086</v>
      </c>
      <c r="H251" s="85">
        <f>SUM(E$224:E251)-OneTime_P/10^7</f>
        <v>-79.37053345</v>
      </c>
      <c r="I251" s="85">
        <f>SUM(F$224:F251)-OneTime_P/10^7</f>
        <v>-147.815366</v>
      </c>
      <c r="J251" s="85">
        <f>G251+$C251*RTO_Avoid_Sale/100</f>
        <v>810.4122902</v>
      </c>
      <c r="K251" s="85">
        <f>H251+$C251*RTO_Avoid_Sale/100</f>
        <v>741.9674576</v>
      </c>
      <c r="L251" s="85">
        <f>I251+$C251*RTO_Avoid_Sale/100</f>
        <v>673.522625</v>
      </c>
    </row>
    <row r="252">
      <c r="A252" s="84">
        <v>29.0</v>
      </c>
      <c r="B252" s="17">
        <f>IF(A252&lt;=12,ST_M1+(ST_M12-ST_M1)*(A252-1)/11,IF(A252&lt;=36,ST_M12+(ST_M36-ST_M12)*(A252-12)/24,ST_M36))</f>
        <v>0.3239583333</v>
      </c>
      <c r="C252" s="81">
        <f>Routed_M_P*SUM(B$224:B252)/10^5</f>
        <v>723.4057617</v>
      </c>
      <c r="D252" s="85">
        <f>(Routed_M_P*($B252*Prof1-(1-$B252)*Rent_Unsold)-Maint_P)/10^7</f>
        <v>1.09707486</v>
      </c>
      <c r="E252" s="85">
        <f>(Routed_M_P*($B252*Prof2-(1-$B252)*Rent_Unsold)-Maint_P)/10^7</f>
        <v>-2.798668723</v>
      </c>
      <c r="F252" s="85">
        <f>(Routed_M_P*($B252*Prof3-(1-$B252)*Rent_Unsold)-Maint_P)/10^7</f>
        <v>-6.694412306</v>
      </c>
      <c r="G252" s="85">
        <f>SUM(D$224:D252)-OneTime_P/10^7</f>
        <v>-9.828626001</v>
      </c>
      <c r="H252" s="85">
        <f>SUM(E$224:E252)-OneTime_P/10^7</f>
        <v>-82.16920217</v>
      </c>
      <c r="I252" s="85">
        <f>SUM(F$224:F252)-OneTime_P/10^7</f>
        <v>-154.5097783</v>
      </c>
      <c r="J252" s="85">
        <f>G252+$C252*RTO_Avoid_Sale/100</f>
        <v>858.2582881</v>
      </c>
      <c r="K252" s="85">
        <f>H252+$C252*RTO_Avoid_Sale/100</f>
        <v>785.9177119</v>
      </c>
      <c r="L252" s="85">
        <f>I252+$C252*RTO_Avoid_Sale/100</f>
        <v>713.5771357</v>
      </c>
    </row>
    <row r="253">
      <c r="A253" s="84">
        <v>30.0</v>
      </c>
      <c r="B253" s="17">
        <f>IF(A253&lt;=12,ST_M1+(ST_M12-ST_M1)*(A253-1)/11,IF(A253&lt;=36,ST_M12+(ST_M36-ST_M12)*(A253-12)/24,ST_M36))</f>
        <v>0.33125</v>
      </c>
      <c r="C253" s="81">
        <f>Routed_M_P*SUM(B$224:B253)/10^5</f>
        <v>763.240053</v>
      </c>
      <c r="D253" s="85">
        <f>(Routed_M_P*($B253*Prof1-(1-$B253)*Rent_Unsold)-Maint_P)/10^7</f>
        <v>1.184734101</v>
      </c>
      <c r="E253" s="85">
        <f>(Routed_M_P*($B253*Prof2-(1-$B253)*Rent_Unsold)-Maint_P)/10^7</f>
        <v>-2.798695029</v>
      </c>
      <c r="F253" s="85">
        <f>(Routed_M_P*($B253*Prof3-(1-$B253)*Rent_Unsold)-Maint_P)/10^7</f>
        <v>-6.782124158</v>
      </c>
      <c r="G253" s="85">
        <f>SUM(D$224:D253)-OneTime_P/10^7</f>
        <v>-8.6438919</v>
      </c>
      <c r="H253" s="85">
        <f>SUM(E$224:E253)-OneTime_P/10^7</f>
        <v>-84.9678972</v>
      </c>
      <c r="I253" s="85">
        <f>SUM(F$224:F253)-OneTime_P/10^7</f>
        <v>-161.2919025</v>
      </c>
      <c r="J253" s="85">
        <f>G253+$C253*RTO_Avoid_Sale/100</f>
        <v>907.2441717</v>
      </c>
      <c r="K253" s="85">
        <f>H253+$C253*RTO_Avoid_Sale/100</f>
        <v>830.9201664</v>
      </c>
      <c r="L253" s="85">
        <f>I253+$C253*RTO_Avoid_Sale/100</f>
        <v>754.5961611</v>
      </c>
    </row>
    <row r="254">
      <c r="A254" s="84">
        <v>31.0</v>
      </c>
      <c r="B254" s="17">
        <f>IF(A254&lt;=12,ST_M1+(ST_M12-ST_M1)*(A254-1)/11,IF(A254&lt;=36,ST_M12+(ST_M36-ST_M12)*(A254-12)/24,ST_M36))</f>
        <v>0.3385416667</v>
      </c>
      <c r="C254" s="81">
        <f>Routed_M_P*SUM(B$224:B254)/10^5</f>
        <v>803.9511998</v>
      </c>
      <c r="D254" s="85">
        <f>(Routed_M_P*($B254*Prof1-(1-$B254)*Rent_Unsold)-Maint_P)/10^7</f>
        <v>1.272393342</v>
      </c>
      <c r="E254" s="85">
        <f>(Routed_M_P*($B254*Prof2-(1-$B254)*Rent_Unsold)-Maint_P)/10^7</f>
        <v>-2.798721334</v>
      </c>
      <c r="F254" s="85">
        <f>(Routed_M_P*($B254*Prof3-(1-$B254)*Rent_Unsold)-Maint_P)/10^7</f>
        <v>-6.869836011</v>
      </c>
      <c r="G254" s="85">
        <f>SUM(D$224:D254)-OneTime_P/10^7</f>
        <v>-7.371498558</v>
      </c>
      <c r="H254" s="85">
        <f>SUM(E$224:E254)-OneTime_P/10^7</f>
        <v>-87.76661854</v>
      </c>
      <c r="I254" s="85">
        <f>SUM(F$224:F254)-OneTime_P/10^7</f>
        <v>-168.1617385</v>
      </c>
      <c r="J254" s="85">
        <f>G254+$C254*RTO_Avoid_Sale/100</f>
        <v>957.3699412</v>
      </c>
      <c r="K254" s="85">
        <f>H254+$C254*RTO_Avoid_Sale/100</f>
        <v>876.9748212</v>
      </c>
      <c r="L254" s="85">
        <f>I254+$C254*RTO_Avoid_Sale/100</f>
        <v>796.5797012</v>
      </c>
    </row>
    <row r="255">
      <c r="A255" s="84">
        <v>32.0</v>
      </c>
      <c r="B255" s="17">
        <f>IF(A255&lt;=12,ST_M1+(ST_M12-ST_M1)*(A255-1)/11,IF(A255&lt;=36,ST_M12+(ST_M36-ST_M12)*(A255-12)/24,ST_M36))</f>
        <v>0.3458333333</v>
      </c>
      <c r="C255" s="81">
        <f>Routed_M_P*SUM(B$224:B255)/10^5</f>
        <v>845.539202</v>
      </c>
      <c r="D255" s="85">
        <f>(Routed_M_P*($B255*Prof1-(1-$B255)*Rent_Unsold)-Maint_P)/10^7</f>
        <v>1.360052583</v>
      </c>
      <c r="E255" s="85">
        <f>(Routed_M_P*($B255*Prof2-(1-$B255)*Rent_Unsold)-Maint_P)/10^7</f>
        <v>-2.79874764</v>
      </c>
      <c r="F255" s="85">
        <f>(Routed_M_P*($B255*Prof3-(1-$B255)*Rent_Unsold)-Maint_P)/10^7</f>
        <v>-6.957547863</v>
      </c>
      <c r="G255" s="85">
        <f>SUM(D$224:D255)-OneTime_P/10^7</f>
        <v>-6.011445975</v>
      </c>
      <c r="H255" s="85">
        <f>SUM(E$224:E255)-OneTime_P/10^7</f>
        <v>-90.56536618</v>
      </c>
      <c r="I255" s="85">
        <f>SUM(F$224:F255)-OneTime_P/10^7</f>
        <v>-175.1192864</v>
      </c>
      <c r="J255" s="85">
        <f>G255+$C255*RTO_Avoid_Sale/100</f>
        <v>1008.635596</v>
      </c>
      <c r="K255" s="85">
        <f>H255+$C255*RTO_Avoid_Sale/100</f>
        <v>924.0816762</v>
      </c>
      <c r="L255" s="85">
        <f>I255+$C255*RTO_Avoid_Sale/100</f>
        <v>839.527756</v>
      </c>
    </row>
    <row r="256">
      <c r="A256" s="84">
        <v>33.0</v>
      </c>
      <c r="B256" s="17">
        <f>IF(A256&lt;=12,ST_M1+(ST_M12-ST_M1)*(A256-1)/11,IF(A256&lt;=36,ST_M12+(ST_M36-ST_M12)*(A256-12)/24,ST_M36))</f>
        <v>0.353125</v>
      </c>
      <c r="C256" s="81">
        <f>Routed_M_P*SUM(B$224:B256)/10^5</f>
        <v>888.0040597</v>
      </c>
      <c r="D256" s="85">
        <f>(Routed_M_P*($B256*Prof1-(1-$B256)*Rent_Unsold)-Maint_P)/10^7</f>
        <v>1.447711824</v>
      </c>
      <c r="E256" s="85">
        <f>(Routed_M_P*($B256*Prof2-(1-$B256)*Rent_Unsold)-Maint_P)/10^7</f>
        <v>-2.798773946</v>
      </c>
      <c r="F256" s="85">
        <f>(Routed_M_P*($B256*Prof3-(1-$B256)*Rent_Unsold)-Maint_P)/10^7</f>
        <v>-7.045259716</v>
      </c>
      <c r="G256" s="85">
        <f>SUM(D$224:D256)-OneTime_P/10^7</f>
        <v>-4.563734151</v>
      </c>
      <c r="H256" s="85">
        <f>SUM(E$224:E256)-OneTime_P/10^7</f>
        <v>-93.36414012</v>
      </c>
      <c r="I256" s="85">
        <f>SUM(F$224:F256)-OneTime_P/10^7</f>
        <v>-182.1645461</v>
      </c>
      <c r="J256" s="85">
        <f>G256+$C256*RTO_Avoid_Sale/100</f>
        <v>1061.041138</v>
      </c>
      <c r="K256" s="85">
        <f>H256+$C256*RTO_Avoid_Sale/100</f>
        <v>972.2407315</v>
      </c>
      <c r="L256" s="85">
        <f>I256+$C256*RTO_Avoid_Sale/100</f>
        <v>883.4403256</v>
      </c>
    </row>
    <row r="257">
      <c r="A257" s="84">
        <v>34.0</v>
      </c>
      <c r="B257" s="17">
        <f>IF(A257&lt;=12,ST_M1+(ST_M12-ST_M1)*(A257-1)/11,IF(A257&lt;=36,ST_M12+(ST_M36-ST_M12)*(A257-12)/24,ST_M36))</f>
        <v>0.3604166667</v>
      </c>
      <c r="C257" s="81">
        <f>Routed_M_P*SUM(B$224:B257)/10^5</f>
        <v>931.3457729</v>
      </c>
      <c r="D257" s="85">
        <f>(Routed_M_P*($B257*Prof1-(1-$B257)*Rent_Unsold)-Maint_P)/10^7</f>
        <v>1.535371066</v>
      </c>
      <c r="E257" s="85">
        <f>(Routed_M_P*($B257*Prof2-(1-$B257)*Rent_Unsold)-Maint_P)/10^7</f>
        <v>-2.798800251</v>
      </c>
      <c r="F257" s="85">
        <f>(Routed_M_P*($B257*Prof3-(1-$B257)*Rent_Unsold)-Maint_P)/10^7</f>
        <v>-7.132971568</v>
      </c>
      <c r="G257" s="85">
        <f>SUM(D$224:D257)-OneTime_P/10^7</f>
        <v>-3.028363085</v>
      </c>
      <c r="H257" s="85">
        <f>SUM(E$224:E257)-OneTime_P/10^7</f>
        <v>-96.16294037</v>
      </c>
      <c r="I257" s="85">
        <f>SUM(F$224:F257)-OneTime_P/10^7</f>
        <v>-189.2975177</v>
      </c>
      <c r="J257" s="85">
        <f>G257+$C257*RTO_Avoid_Sale/100</f>
        <v>1114.586564</v>
      </c>
      <c r="K257" s="85">
        <f>H257+$C257*RTO_Avoid_Sale/100</f>
        <v>1021.451987</v>
      </c>
      <c r="L257" s="85">
        <f>I257+$C257*RTO_Avoid_Sale/100</f>
        <v>928.3174098</v>
      </c>
    </row>
    <row r="258">
      <c r="A258" s="84">
        <v>35.0</v>
      </c>
      <c r="B258" s="17">
        <f>IF(A258&lt;=12,ST_M1+(ST_M12-ST_M1)*(A258-1)/11,IF(A258&lt;=36,ST_M12+(ST_M36-ST_M12)*(A258-12)/24,ST_M36))</f>
        <v>0.3677083333</v>
      </c>
      <c r="C258" s="81">
        <f>Routed_M_P*SUM(B$224:B258)/10^5</f>
        <v>975.5643415</v>
      </c>
      <c r="D258" s="85">
        <f>(Routed_M_P*($B258*Prof1-(1-$B258)*Rent_Unsold)-Maint_P)/10^7</f>
        <v>1.623030307</v>
      </c>
      <c r="E258" s="85">
        <f>(Routed_M_P*($B258*Prof2-(1-$B258)*Rent_Unsold)-Maint_P)/10^7</f>
        <v>-2.798826557</v>
      </c>
      <c r="F258" s="85">
        <f>(Routed_M_P*($B258*Prof3-(1-$B258)*Rent_Unsold)-Maint_P)/10^7</f>
        <v>-7.220683421</v>
      </c>
      <c r="G258" s="85">
        <f>SUM(D$224:D258)-OneTime_P/10^7</f>
        <v>-1.405332778</v>
      </c>
      <c r="H258" s="85">
        <f>SUM(E$224:E258)-OneTime_P/10^7</f>
        <v>-98.96176693</v>
      </c>
      <c r="I258" s="85">
        <f>SUM(F$224:F258)-OneTime_P/10^7</f>
        <v>-196.5182011</v>
      </c>
      <c r="J258" s="85">
        <f>G258+$C258*RTO_Avoid_Sale/100</f>
        <v>1169.271877</v>
      </c>
      <c r="K258" s="85">
        <f>H258+$C258*RTO_Avoid_Sale/100</f>
        <v>1071.715443</v>
      </c>
      <c r="L258" s="85">
        <f>I258+$C258*RTO_Avoid_Sale/100</f>
        <v>974.1590087</v>
      </c>
    </row>
    <row r="259">
      <c r="A259" s="84">
        <v>36.0</v>
      </c>
      <c r="B259" s="17">
        <f>IF(A259&lt;=12,ST_M1+(ST_M12-ST_M1)*(A259-1)/11,IF(A259&lt;=36,ST_M12+(ST_M36-ST_M12)*(A259-12)/24,ST_M36))</f>
        <v>0.375</v>
      </c>
      <c r="C259" s="81">
        <f>Routed_M_P*SUM(B$224:B259)/10^5</f>
        <v>1020.659766</v>
      </c>
      <c r="D259" s="85">
        <f>(Routed_M_P*($B259*Prof1-(1-$B259)*Rent_Unsold)-Maint_P)/10^7</f>
        <v>1.710689548</v>
      </c>
      <c r="E259" s="85">
        <f>(Routed_M_P*($B259*Prof2-(1-$B259)*Rent_Unsold)-Maint_P)/10^7</f>
        <v>-2.798852863</v>
      </c>
      <c r="F259" s="85">
        <f>(Routed_M_P*($B259*Prof3-(1-$B259)*Rent_Unsold)-Maint_P)/10^7</f>
        <v>-7.308395273</v>
      </c>
      <c r="G259" s="85">
        <f>SUM(D$224:D259)-OneTime_P/10^7</f>
        <v>0.3053567695</v>
      </c>
      <c r="H259" s="85">
        <f>SUM(E$224:E259)-OneTime_P/10^7</f>
        <v>-101.7606198</v>
      </c>
      <c r="I259" s="85">
        <f>SUM(F$224:F259)-OneTime_P/10^7</f>
        <v>-203.8265964</v>
      </c>
      <c r="J259" s="85">
        <f>G259+$C259*RTO_Avoid_Sale/100</f>
        <v>1225.097076</v>
      </c>
      <c r="K259" s="85">
        <f>H259+$C259*RTO_Avoid_Sale/100</f>
        <v>1123.031099</v>
      </c>
      <c r="L259" s="85">
        <f>I259+$C259*RTO_Avoid_Sale/100</f>
        <v>1020.965122</v>
      </c>
    </row>
    <row r="260">
      <c r="A260" s="84">
        <v>37.0</v>
      </c>
      <c r="B260" s="17">
        <f>IF(A260&lt;=12,ST_M1+(ST_M12-ST_M1)*(A260-1)/11,IF(A260&lt;=36,ST_M12+(ST_M36-ST_M12)*(A260-12)/24,ST_M36))</f>
        <v>0.375</v>
      </c>
      <c r="C260" s="81">
        <f>Routed_M_P*SUM(B$224:B260)/10^5</f>
        <v>1065.75519</v>
      </c>
      <c r="D260" s="85">
        <f>(Routed_M_P*($B260*Prof1-(1-$B260)*Rent_Unsold)-Maint_P)/10^7</f>
        <v>1.710689548</v>
      </c>
      <c r="E260" s="85">
        <f>(Routed_M_P*($B260*Prof2-(1-$B260)*Rent_Unsold)-Maint_P)/10^7</f>
        <v>-2.798852863</v>
      </c>
      <c r="F260" s="85">
        <f>(Routed_M_P*($B260*Prof3-(1-$B260)*Rent_Unsold)-Maint_P)/10^7</f>
        <v>-7.308395273</v>
      </c>
      <c r="G260" s="85">
        <f>SUM(D$224:D260)-OneTime_P/10^7</f>
        <v>2.016046318</v>
      </c>
      <c r="H260" s="85">
        <f>SUM(E$224:E260)-OneTime_P/10^7</f>
        <v>-104.5594727</v>
      </c>
      <c r="I260" s="85">
        <f>SUM(F$224:F260)-OneTime_P/10^7</f>
        <v>-211.1349916</v>
      </c>
      <c r="J260" s="85">
        <f>G260+$C260*RTO_Avoid_Sale/100</f>
        <v>1280.922274</v>
      </c>
      <c r="K260" s="85">
        <f>H260+$C260*RTO_Avoid_Sale/100</f>
        <v>1174.346755</v>
      </c>
      <c r="L260" s="85">
        <f>I260+$C260*RTO_Avoid_Sale/100</f>
        <v>1067.771236</v>
      </c>
    </row>
    <row r="261">
      <c r="A261" s="84">
        <v>38.0</v>
      </c>
      <c r="B261" s="17">
        <f>IF(A261&lt;=12,ST_M1+(ST_M12-ST_M1)*(A261-1)/11,IF(A261&lt;=36,ST_M12+(ST_M36-ST_M12)*(A261-12)/24,ST_M36))</f>
        <v>0.375</v>
      </c>
      <c r="C261" s="81">
        <f>Routed_M_P*SUM(B$224:B261)/10^5</f>
        <v>1110.850614</v>
      </c>
      <c r="D261" s="85">
        <f>(Routed_M_P*($B261*Prof1-(1-$B261)*Rent_Unsold)-Maint_P)/10^7</f>
        <v>1.710689548</v>
      </c>
      <c r="E261" s="85">
        <f>(Routed_M_P*($B261*Prof2-(1-$B261)*Rent_Unsold)-Maint_P)/10^7</f>
        <v>-2.798852863</v>
      </c>
      <c r="F261" s="85">
        <f>(Routed_M_P*($B261*Prof3-(1-$B261)*Rent_Unsold)-Maint_P)/10^7</f>
        <v>-7.308395273</v>
      </c>
      <c r="G261" s="85">
        <f>SUM(D$224:D261)-OneTime_P/10^7</f>
        <v>3.726735866</v>
      </c>
      <c r="H261" s="85">
        <f>SUM(E$224:E261)-OneTime_P/10^7</f>
        <v>-107.3583255</v>
      </c>
      <c r="I261" s="85">
        <f>SUM(F$224:F261)-OneTime_P/10^7</f>
        <v>-218.4433869</v>
      </c>
      <c r="J261" s="85">
        <f>G261+$C261*RTO_Avoid_Sale/100</f>
        <v>1336.747472</v>
      </c>
      <c r="K261" s="85">
        <f>H261+$C261*RTO_Avoid_Sale/100</f>
        <v>1225.662411</v>
      </c>
      <c r="L261" s="85">
        <f>I261+$C261*RTO_Avoid_Sale/100</f>
        <v>1114.57735</v>
      </c>
    </row>
    <row r="262">
      <c r="A262" s="84">
        <v>39.0</v>
      </c>
      <c r="B262" s="17">
        <f>IF(A262&lt;=12,ST_M1+(ST_M12-ST_M1)*(A262-1)/11,IF(A262&lt;=36,ST_M12+(ST_M36-ST_M12)*(A262-12)/24,ST_M36))</f>
        <v>0.375</v>
      </c>
      <c r="C262" s="81">
        <f>Routed_M_P*SUM(B$224:B262)/10^5</f>
        <v>1155.946038</v>
      </c>
      <c r="D262" s="85">
        <f>(Routed_M_P*($B262*Prof1-(1-$B262)*Rent_Unsold)-Maint_P)/10^7</f>
        <v>1.710689548</v>
      </c>
      <c r="E262" s="85">
        <f>(Routed_M_P*($B262*Prof2-(1-$B262)*Rent_Unsold)-Maint_P)/10^7</f>
        <v>-2.798852863</v>
      </c>
      <c r="F262" s="85">
        <f>(Routed_M_P*($B262*Prof3-(1-$B262)*Rent_Unsold)-Maint_P)/10^7</f>
        <v>-7.308395273</v>
      </c>
      <c r="G262" s="85">
        <f>SUM(D$224:D262)-OneTime_P/10^7</f>
        <v>5.437425414</v>
      </c>
      <c r="H262" s="85">
        <f>SUM(E$224:E262)-OneTime_P/10^7</f>
        <v>-110.1571784</v>
      </c>
      <c r="I262" s="85">
        <f>SUM(F$224:F262)-OneTime_P/10^7</f>
        <v>-225.7517822</v>
      </c>
      <c r="J262" s="85">
        <f>G262+$C262*RTO_Avoid_Sale/100</f>
        <v>1392.572671</v>
      </c>
      <c r="K262" s="85">
        <f>H262+$C262*RTO_Avoid_Sale/100</f>
        <v>1276.978067</v>
      </c>
      <c r="L262" s="85">
        <f>I262+$C262*RTO_Avoid_Sale/100</f>
        <v>1161.383463</v>
      </c>
    </row>
    <row r="263">
      <c r="A263" s="84">
        <v>40.0</v>
      </c>
      <c r="B263" s="17">
        <f>IF(A263&lt;=12,ST_M1+(ST_M12-ST_M1)*(A263-1)/11,IF(A263&lt;=36,ST_M12+(ST_M36-ST_M12)*(A263-12)/24,ST_M36))</f>
        <v>0.375</v>
      </c>
      <c r="C263" s="81">
        <f>Routed_M_P*SUM(B$224:B263)/10^5</f>
        <v>1201.041462</v>
      </c>
      <c r="D263" s="85">
        <f>(Routed_M_P*($B263*Prof1-(1-$B263)*Rent_Unsold)-Maint_P)/10^7</f>
        <v>1.710689548</v>
      </c>
      <c r="E263" s="85">
        <f>(Routed_M_P*($B263*Prof2-(1-$B263)*Rent_Unsold)-Maint_P)/10^7</f>
        <v>-2.798852863</v>
      </c>
      <c r="F263" s="85">
        <f>(Routed_M_P*($B263*Prof3-(1-$B263)*Rent_Unsold)-Maint_P)/10^7</f>
        <v>-7.308395273</v>
      </c>
      <c r="G263" s="85">
        <f>SUM(D$224:D263)-OneTime_P/10^7</f>
        <v>7.148114961</v>
      </c>
      <c r="H263" s="85">
        <f>SUM(E$224:E263)-OneTime_P/10^7</f>
        <v>-112.9560312</v>
      </c>
      <c r="I263" s="85">
        <f>SUM(F$224:F263)-OneTime_P/10^7</f>
        <v>-233.0601774</v>
      </c>
      <c r="J263" s="85">
        <f>G263+$C263*RTO_Avoid_Sale/100</f>
        <v>1448.397869</v>
      </c>
      <c r="K263" s="85">
        <f>H263+$C263*RTO_Avoid_Sale/100</f>
        <v>1328.293723</v>
      </c>
      <c r="L263" s="85">
        <f>I263+$C263*RTO_Avoid_Sale/100</f>
        <v>1208.189577</v>
      </c>
    </row>
    <row r="264">
      <c r="A264" s="84">
        <v>41.0</v>
      </c>
      <c r="B264" s="17">
        <f>IF(A264&lt;=12,ST_M1+(ST_M12-ST_M1)*(A264-1)/11,IF(A264&lt;=36,ST_M12+(ST_M36-ST_M12)*(A264-12)/24,ST_M36))</f>
        <v>0.375</v>
      </c>
      <c r="C264" s="81">
        <f>Routed_M_P*SUM(B$224:B264)/10^5</f>
        <v>1246.136886</v>
      </c>
      <c r="D264" s="85">
        <f>(Routed_M_P*($B264*Prof1-(1-$B264)*Rent_Unsold)-Maint_P)/10^7</f>
        <v>1.710689548</v>
      </c>
      <c r="E264" s="85">
        <f>(Routed_M_P*($B264*Prof2-(1-$B264)*Rent_Unsold)-Maint_P)/10^7</f>
        <v>-2.798852863</v>
      </c>
      <c r="F264" s="85">
        <f>(Routed_M_P*($B264*Prof3-(1-$B264)*Rent_Unsold)-Maint_P)/10^7</f>
        <v>-7.308395273</v>
      </c>
      <c r="G264" s="85">
        <f>SUM(D$224:D264)-OneTime_P/10^7</f>
        <v>8.858804509</v>
      </c>
      <c r="H264" s="85">
        <f>SUM(E$224:E264)-OneTime_P/10^7</f>
        <v>-115.7548841</v>
      </c>
      <c r="I264" s="85">
        <f>SUM(F$224:F264)-OneTime_P/10^7</f>
        <v>-240.3685727</v>
      </c>
      <c r="J264" s="85">
        <f>G264+$C264*RTO_Avoid_Sale/100</f>
        <v>1504.223068</v>
      </c>
      <c r="K264" s="85">
        <f>H264+$C264*RTO_Avoid_Sale/100</f>
        <v>1379.609379</v>
      </c>
      <c r="L264" s="85">
        <f>I264+$C264*RTO_Avoid_Sale/100</f>
        <v>1254.995691</v>
      </c>
    </row>
    <row r="265">
      <c r="A265" s="84">
        <v>42.0</v>
      </c>
      <c r="B265" s="17">
        <f>IF(A265&lt;=12,ST_M1+(ST_M12-ST_M1)*(A265-1)/11,IF(A265&lt;=36,ST_M12+(ST_M36-ST_M12)*(A265-12)/24,ST_M36))</f>
        <v>0.375</v>
      </c>
      <c r="C265" s="81">
        <f>Routed_M_P*SUM(B$224:B265)/10^5</f>
        <v>1291.23231</v>
      </c>
      <c r="D265" s="85">
        <f>(Routed_M_P*($B265*Prof1-(1-$B265)*Rent_Unsold)-Maint_P)/10^7</f>
        <v>1.710689548</v>
      </c>
      <c r="E265" s="85">
        <f>(Routed_M_P*($B265*Prof2-(1-$B265)*Rent_Unsold)-Maint_P)/10^7</f>
        <v>-2.798852863</v>
      </c>
      <c r="F265" s="85">
        <f>(Routed_M_P*($B265*Prof3-(1-$B265)*Rent_Unsold)-Maint_P)/10^7</f>
        <v>-7.308395273</v>
      </c>
      <c r="G265" s="85">
        <f>SUM(D$224:D265)-OneTime_P/10^7</f>
        <v>10.56949406</v>
      </c>
      <c r="H265" s="85">
        <f>SUM(E$224:E265)-OneTime_P/10^7</f>
        <v>-118.553737</v>
      </c>
      <c r="I265" s="85">
        <f>SUM(F$224:F265)-OneTime_P/10^7</f>
        <v>-247.676968</v>
      </c>
      <c r="J265" s="85">
        <f>G265+$C265*RTO_Avoid_Sale/100</f>
        <v>1560.048266</v>
      </c>
      <c r="K265" s="85">
        <f>H265+$C265*RTO_Avoid_Sale/100</f>
        <v>1430.925035</v>
      </c>
      <c r="L265" s="85">
        <f>I265+$C265*RTO_Avoid_Sale/100</f>
        <v>1301.801804</v>
      </c>
    </row>
    <row r="266">
      <c r="A266" s="84">
        <v>43.0</v>
      </c>
      <c r="B266" s="17">
        <f>IF(A266&lt;=12,ST_M1+(ST_M12-ST_M1)*(A266-1)/11,IF(A266&lt;=36,ST_M12+(ST_M36-ST_M12)*(A266-12)/24,ST_M36))</f>
        <v>0.375</v>
      </c>
      <c r="C266" s="81">
        <f>Routed_M_P*SUM(B$224:B266)/10^5</f>
        <v>1336.327734</v>
      </c>
      <c r="D266" s="85">
        <f>(Routed_M_P*($B266*Prof1-(1-$B266)*Rent_Unsold)-Maint_P)/10^7</f>
        <v>1.710689548</v>
      </c>
      <c r="E266" s="85">
        <f>(Routed_M_P*($B266*Prof2-(1-$B266)*Rent_Unsold)-Maint_P)/10^7</f>
        <v>-2.798852863</v>
      </c>
      <c r="F266" s="85">
        <f>(Routed_M_P*($B266*Prof3-(1-$B266)*Rent_Unsold)-Maint_P)/10^7</f>
        <v>-7.308395273</v>
      </c>
      <c r="G266" s="85">
        <f>SUM(D$224:D266)-OneTime_P/10^7</f>
        <v>12.28018361</v>
      </c>
      <c r="H266" s="85">
        <f>SUM(E$224:E266)-OneTime_P/10^7</f>
        <v>-121.3525898</v>
      </c>
      <c r="I266" s="85">
        <f>SUM(F$224:F266)-OneTime_P/10^7</f>
        <v>-254.9853633</v>
      </c>
      <c r="J266" s="85">
        <f>G266+$C266*RTO_Avoid_Sale/100</f>
        <v>1615.873465</v>
      </c>
      <c r="K266" s="85">
        <f>H266+$C266*RTO_Avoid_Sale/100</f>
        <v>1482.240691</v>
      </c>
      <c r="L266" s="85">
        <f>I266+$C266*RTO_Avoid_Sale/100</f>
        <v>1348.607918</v>
      </c>
    </row>
    <row r="267">
      <c r="A267" s="84">
        <v>44.0</v>
      </c>
      <c r="B267" s="17">
        <f>IF(A267&lt;=12,ST_M1+(ST_M12-ST_M1)*(A267-1)/11,IF(A267&lt;=36,ST_M12+(ST_M36-ST_M12)*(A267-12)/24,ST_M36))</f>
        <v>0.375</v>
      </c>
      <c r="C267" s="81">
        <f>Routed_M_P*SUM(B$224:B267)/10^5</f>
        <v>1381.423158</v>
      </c>
      <c r="D267" s="85">
        <f>(Routed_M_P*($B267*Prof1-(1-$B267)*Rent_Unsold)-Maint_P)/10^7</f>
        <v>1.710689548</v>
      </c>
      <c r="E267" s="85">
        <f>(Routed_M_P*($B267*Prof2-(1-$B267)*Rent_Unsold)-Maint_P)/10^7</f>
        <v>-2.798852863</v>
      </c>
      <c r="F267" s="85">
        <f>(Routed_M_P*($B267*Prof3-(1-$B267)*Rent_Unsold)-Maint_P)/10^7</f>
        <v>-7.308395273</v>
      </c>
      <c r="G267" s="85">
        <f>SUM(D$224:D267)-OneTime_P/10^7</f>
        <v>13.99087315</v>
      </c>
      <c r="H267" s="85">
        <f>SUM(E$224:E267)-OneTime_P/10^7</f>
        <v>-124.1514427</v>
      </c>
      <c r="I267" s="85">
        <f>SUM(F$224:F267)-OneTime_P/10^7</f>
        <v>-262.2937585</v>
      </c>
      <c r="J267" s="85">
        <f>G267+$C267*RTO_Avoid_Sale/100</f>
        <v>1671.698663</v>
      </c>
      <c r="K267" s="85">
        <f>H267+$C267*RTO_Avoid_Sale/100</f>
        <v>1533.556347</v>
      </c>
      <c r="L267" s="85">
        <f>I267+$C267*RTO_Avoid_Sale/100</f>
        <v>1395.414032</v>
      </c>
    </row>
    <row r="268">
      <c r="A268" s="84">
        <v>45.0</v>
      </c>
      <c r="B268" s="17">
        <f>IF(A268&lt;=12,ST_M1+(ST_M12-ST_M1)*(A268-1)/11,IF(A268&lt;=36,ST_M12+(ST_M36-ST_M12)*(A268-12)/24,ST_M36))</f>
        <v>0.375</v>
      </c>
      <c r="C268" s="81">
        <f>Routed_M_P*SUM(B$224:B268)/10^5</f>
        <v>1426.518583</v>
      </c>
      <c r="D268" s="85">
        <f>(Routed_M_P*($B268*Prof1-(1-$B268)*Rent_Unsold)-Maint_P)/10^7</f>
        <v>1.710689548</v>
      </c>
      <c r="E268" s="85">
        <f>(Routed_M_P*($B268*Prof2-(1-$B268)*Rent_Unsold)-Maint_P)/10^7</f>
        <v>-2.798852863</v>
      </c>
      <c r="F268" s="85">
        <f>(Routed_M_P*($B268*Prof3-(1-$B268)*Rent_Unsold)-Maint_P)/10^7</f>
        <v>-7.308395273</v>
      </c>
      <c r="G268" s="85">
        <f>SUM(D$224:D268)-OneTime_P/10^7</f>
        <v>15.7015627</v>
      </c>
      <c r="H268" s="85">
        <f>SUM(E$224:E268)-OneTime_P/10^7</f>
        <v>-126.9502956</v>
      </c>
      <c r="I268" s="85">
        <f>SUM(F$224:F268)-OneTime_P/10^7</f>
        <v>-269.6021538</v>
      </c>
      <c r="J268" s="85">
        <f>G268+$C268*RTO_Avoid_Sale/100</f>
        <v>1727.523862</v>
      </c>
      <c r="K268" s="85">
        <f>H268+$C268*RTO_Avoid_Sale/100</f>
        <v>1584.872004</v>
      </c>
      <c r="L268" s="85">
        <f>I268+$C268*RTO_Avoid_Sale/100</f>
        <v>1442.220145</v>
      </c>
    </row>
    <row r="269">
      <c r="A269" s="84">
        <v>46.0</v>
      </c>
      <c r="B269" s="17">
        <f>IF(A269&lt;=12,ST_M1+(ST_M12-ST_M1)*(A269-1)/11,IF(A269&lt;=36,ST_M12+(ST_M36-ST_M12)*(A269-12)/24,ST_M36))</f>
        <v>0.375</v>
      </c>
      <c r="C269" s="81">
        <f>Routed_M_P*SUM(B$224:B269)/10^5</f>
        <v>1471.614007</v>
      </c>
      <c r="D269" s="85">
        <f>(Routed_M_P*($B269*Prof1-(1-$B269)*Rent_Unsold)-Maint_P)/10^7</f>
        <v>1.710689548</v>
      </c>
      <c r="E269" s="85">
        <f>(Routed_M_P*($B269*Prof2-(1-$B269)*Rent_Unsold)-Maint_P)/10^7</f>
        <v>-2.798852863</v>
      </c>
      <c r="F269" s="85">
        <f>(Routed_M_P*($B269*Prof3-(1-$B269)*Rent_Unsold)-Maint_P)/10^7</f>
        <v>-7.308395273</v>
      </c>
      <c r="G269" s="85">
        <f>SUM(D$224:D269)-OneTime_P/10^7</f>
        <v>17.41225225</v>
      </c>
      <c r="H269" s="85">
        <f>SUM(E$224:E269)-OneTime_P/10^7</f>
        <v>-129.7491484</v>
      </c>
      <c r="I269" s="85">
        <f>SUM(F$224:F269)-OneTime_P/10^7</f>
        <v>-276.9105491</v>
      </c>
      <c r="J269" s="85">
        <f>G269+$C269*RTO_Avoid_Sale/100</f>
        <v>1783.34906</v>
      </c>
      <c r="K269" s="85">
        <f>H269+$C269*RTO_Avoid_Sale/100</f>
        <v>1636.18766</v>
      </c>
      <c r="L269" s="85">
        <f>I269+$C269*RTO_Avoid_Sale/100</f>
        <v>1489.026259</v>
      </c>
    </row>
    <row r="270">
      <c r="A270" s="84">
        <v>47.0</v>
      </c>
      <c r="B270" s="17">
        <f>IF(A270&lt;=12,ST_M1+(ST_M12-ST_M1)*(A270-1)/11,IF(A270&lt;=36,ST_M12+(ST_M36-ST_M12)*(A270-12)/24,ST_M36))</f>
        <v>0.375</v>
      </c>
      <c r="C270" s="81">
        <f>Routed_M_P*SUM(B$224:B270)/10^5</f>
        <v>1516.709431</v>
      </c>
      <c r="D270" s="85">
        <f>(Routed_M_P*($B270*Prof1-(1-$B270)*Rent_Unsold)-Maint_P)/10^7</f>
        <v>1.710689548</v>
      </c>
      <c r="E270" s="85">
        <f>(Routed_M_P*($B270*Prof2-(1-$B270)*Rent_Unsold)-Maint_P)/10^7</f>
        <v>-2.798852863</v>
      </c>
      <c r="F270" s="85">
        <f>(Routed_M_P*($B270*Prof3-(1-$B270)*Rent_Unsold)-Maint_P)/10^7</f>
        <v>-7.308395273</v>
      </c>
      <c r="G270" s="85">
        <f>SUM(D$224:D270)-OneTime_P/10^7</f>
        <v>19.1229418</v>
      </c>
      <c r="H270" s="85">
        <f>SUM(E$224:E270)-OneTime_P/10^7</f>
        <v>-132.5480013</v>
      </c>
      <c r="I270" s="85">
        <f>SUM(F$224:F270)-OneTime_P/10^7</f>
        <v>-284.2189444</v>
      </c>
      <c r="J270" s="85">
        <f>G270+$C270*RTO_Avoid_Sale/100</f>
        <v>1839.174259</v>
      </c>
      <c r="K270" s="85">
        <f>H270+$C270*RTO_Avoid_Sale/100</f>
        <v>1687.503316</v>
      </c>
      <c r="L270" s="85">
        <f>I270+$C270*RTO_Avoid_Sale/100</f>
        <v>1535.832373</v>
      </c>
    </row>
    <row r="271">
      <c r="A271" s="84">
        <v>48.0</v>
      </c>
      <c r="B271" s="17">
        <f>IF(A271&lt;=12,ST_M1+(ST_M12-ST_M1)*(A271-1)/11,IF(A271&lt;=36,ST_M12+(ST_M36-ST_M12)*(A271-12)/24,ST_M36))</f>
        <v>0.375</v>
      </c>
      <c r="C271" s="81">
        <f>Routed_M_P*SUM(B$224:B271)/10^5</f>
        <v>1561.804855</v>
      </c>
      <c r="D271" s="85">
        <f>(Routed_M_P*($B271*Prof1-(1-$B271)*Rent_Unsold)-Maint_P)/10^7</f>
        <v>1.710689548</v>
      </c>
      <c r="E271" s="85">
        <f>(Routed_M_P*($B271*Prof2-(1-$B271)*Rent_Unsold)-Maint_P)/10^7</f>
        <v>-2.798852863</v>
      </c>
      <c r="F271" s="85">
        <f>(Routed_M_P*($B271*Prof3-(1-$B271)*Rent_Unsold)-Maint_P)/10^7</f>
        <v>-7.308395273</v>
      </c>
      <c r="G271" s="85">
        <f>SUM(D$224:D271)-OneTime_P/10^7</f>
        <v>20.83363135</v>
      </c>
      <c r="H271" s="85">
        <f>SUM(E$224:E271)-OneTime_P/10^7</f>
        <v>-135.3468541</v>
      </c>
      <c r="I271" s="85">
        <f>SUM(F$224:F271)-OneTime_P/10^7</f>
        <v>-291.5273396</v>
      </c>
      <c r="J271" s="85">
        <f>G271+$C271*RTO_Avoid_Sale/100</f>
        <v>1894.999457</v>
      </c>
      <c r="K271" s="85">
        <f>H271+$C271*RTO_Avoid_Sale/100</f>
        <v>1738.818972</v>
      </c>
      <c r="L271" s="85">
        <f>I271+$C271*RTO_Avoid_Sale/100</f>
        <v>1582.638486</v>
      </c>
    </row>
    <row r="272">
      <c r="A272" s="84">
        <v>49.0</v>
      </c>
      <c r="B272" s="17">
        <f>IF(A272&lt;=12,ST_M1+(ST_M12-ST_M1)*(A272-1)/11,IF(A272&lt;=36,ST_M12+(ST_M36-ST_M12)*(A272-12)/24,ST_M36))</f>
        <v>0.375</v>
      </c>
      <c r="C272" s="81">
        <f>Routed_M_P*SUM(B$224:B272)/10^5</f>
        <v>1606.900279</v>
      </c>
      <c r="D272" s="85">
        <f>(Routed_M_P*($B272*Prof1-(1-$B272)*Rent_Unsold)-Maint_P)/10^7</f>
        <v>1.710689548</v>
      </c>
      <c r="E272" s="85">
        <f>(Routed_M_P*($B272*Prof2-(1-$B272)*Rent_Unsold)-Maint_P)/10^7</f>
        <v>-2.798852863</v>
      </c>
      <c r="F272" s="85">
        <f>(Routed_M_P*($B272*Prof3-(1-$B272)*Rent_Unsold)-Maint_P)/10^7</f>
        <v>-7.308395273</v>
      </c>
      <c r="G272" s="85">
        <f>SUM(D$224:D272)-OneTime_P/10^7</f>
        <v>22.54432089</v>
      </c>
      <c r="H272" s="85">
        <f>SUM(E$224:E272)-OneTime_P/10^7</f>
        <v>-138.145707</v>
      </c>
      <c r="I272" s="85">
        <f>SUM(F$224:F272)-OneTime_P/10^7</f>
        <v>-298.8357349</v>
      </c>
      <c r="J272" s="85">
        <f>G272+$C272*RTO_Avoid_Sale/100</f>
        <v>1950.824656</v>
      </c>
      <c r="K272" s="85">
        <f>H272+$C272*RTO_Avoid_Sale/100</f>
        <v>1790.134628</v>
      </c>
      <c r="L272" s="85">
        <f>I272+$C272*RTO_Avoid_Sale/100</f>
        <v>1629.4446</v>
      </c>
    </row>
    <row r="273">
      <c r="A273" s="84">
        <v>50.0</v>
      </c>
      <c r="B273" s="17">
        <f>IF(A273&lt;=12,ST_M1+(ST_M12-ST_M1)*(A273-1)/11,IF(A273&lt;=36,ST_M12+(ST_M36-ST_M12)*(A273-12)/24,ST_M36))</f>
        <v>0.375</v>
      </c>
      <c r="C273" s="81">
        <f>Routed_M_P*SUM(B$224:B273)/10^5</f>
        <v>1651.995703</v>
      </c>
      <c r="D273" s="85">
        <f>(Routed_M_P*($B273*Prof1-(1-$B273)*Rent_Unsold)-Maint_P)/10^7</f>
        <v>1.710689548</v>
      </c>
      <c r="E273" s="85">
        <f>(Routed_M_P*($B273*Prof2-(1-$B273)*Rent_Unsold)-Maint_P)/10^7</f>
        <v>-2.798852863</v>
      </c>
      <c r="F273" s="85">
        <f>(Routed_M_P*($B273*Prof3-(1-$B273)*Rent_Unsold)-Maint_P)/10^7</f>
        <v>-7.308395273</v>
      </c>
      <c r="G273" s="85">
        <f>SUM(D$224:D273)-OneTime_P/10^7</f>
        <v>24.25501044</v>
      </c>
      <c r="H273" s="85">
        <f>SUM(E$224:E273)-OneTime_P/10^7</f>
        <v>-140.9445599</v>
      </c>
      <c r="I273" s="85">
        <f>SUM(F$224:F273)-OneTime_P/10^7</f>
        <v>-306.1441302</v>
      </c>
      <c r="J273" s="85">
        <f>G273+$C273*RTO_Avoid_Sale/100</f>
        <v>2006.649854</v>
      </c>
      <c r="K273" s="85">
        <f>H273+$C273*RTO_Avoid_Sale/100</f>
        <v>1841.450284</v>
      </c>
      <c r="L273" s="85">
        <f>I273+$C273*RTO_Avoid_Sale/100</f>
        <v>1676.250714</v>
      </c>
    </row>
    <row r="274">
      <c r="A274" s="84">
        <v>51.0</v>
      </c>
      <c r="B274" s="17">
        <f>IF(A274&lt;=12,ST_M1+(ST_M12-ST_M1)*(A274-1)/11,IF(A274&lt;=36,ST_M12+(ST_M36-ST_M12)*(A274-12)/24,ST_M36))</f>
        <v>0.375</v>
      </c>
      <c r="C274" s="81">
        <f>Routed_M_P*SUM(B$224:B274)/10^5</f>
        <v>1697.091127</v>
      </c>
      <c r="D274" s="85">
        <f>(Routed_M_P*($B274*Prof1-(1-$B274)*Rent_Unsold)-Maint_P)/10^7</f>
        <v>1.710689548</v>
      </c>
      <c r="E274" s="85">
        <f>(Routed_M_P*($B274*Prof2-(1-$B274)*Rent_Unsold)-Maint_P)/10^7</f>
        <v>-2.798852863</v>
      </c>
      <c r="F274" s="85">
        <f>(Routed_M_P*($B274*Prof3-(1-$B274)*Rent_Unsold)-Maint_P)/10^7</f>
        <v>-7.308395273</v>
      </c>
      <c r="G274" s="85">
        <f>SUM(D$224:D274)-OneTime_P/10^7</f>
        <v>25.96569999</v>
      </c>
      <c r="H274" s="85">
        <f>SUM(E$224:E274)-OneTime_P/10^7</f>
        <v>-143.7434127</v>
      </c>
      <c r="I274" s="85">
        <f>SUM(F$224:F274)-OneTime_P/10^7</f>
        <v>-313.4525255</v>
      </c>
      <c r="J274" s="85">
        <f>G274+$C274*RTO_Avoid_Sale/100</f>
        <v>2062.475053</v>
      </c>
      <c r="K274" s="85">
        <f>H274+$C274*RTO_Avoid_Sale/100</f>
        <v>1892.76594</v>
      </c>
      <c r="L274" s="85">
        <f>I274+$C274*RTO_Avoid_Sale/100</f>
        <v>1723.056827</v>
      </c>
    </row>
    <row r="275">
      <c r="A275" s="84">
        <v>52.0</v>
      </c>
      <c r="B275" s="17">
        <f>IF(A275&lt;=12,ST_M1+(ST_M12-ST_M1)*(A275-1)/11,IF(A275&lt;=36,ST_M12+(ST_M36-ST_M12)*(A275-12)/24,ST_M36))</f>
        <v>0.375</v>
      </c>
      <c r="C275" s="81">
        <f>Routed_M_P*SUM(B$224:B275)/10^5</f>
        <v>1742.186551</v>
      </c>
      <c r="D275" s="85">
        <f>(Routed_M_P*($B275*Prof1-(1-$B275)*Rent_Unsold)-Maint_P)/10^7</f>
        <v>1.710689548</v>
      </c>
      <c r="E275" s="85">
        <f>(Routed_M_P*($B275*Prof2-(1-$B275)*Rent_Unsold)-Maint_P)/10^7</f>
        <v>-2.798852863</v>
      </c>
      <c r="F275" s="85">
        <f>(Routed_M_P*($B275*Prof3-(1-$B275)*Rent_Unsold)-Maint_P)/10^7</f>
        <v>-7.308395273</v>
      </c>
      <c r="G275" s="85">
        <f>SUM(D$224:D275)-OneTime_P/10^7</f>
        <v>27.67638954</v>
      </c>
      <c r="H275" s="85">
        <f>SUM(E$224:E275)-OneTime_P/10^7</f>
        <v>-146.5422656</v>
      </c>
      <c r="I275" s="85">
        <f>SUM(F$224:F275)-OneTime_P/10^7</f>
        <v>-320.7609207</v>
      </c>
      <c r="J275" s="85">
        <f>G275+$C275*RTO_Avoid_Sale/100</f>
        <v>2118.300251</v>
      </c>
      <c r="K275" s="85">
        <f>H275+$C275*RTO_Avoid_Sale/100</f>
        <v>1944.081596</v>
      </c>
      <c r="L275" s="85">
        <f>I275+$C275*RTO_Avoid_Sale/100</f>
        <v>1769.862941</v>
      </c>
    </row>
    <row r="276">
      <c r="A276" s="84">
        <v>53.0</v>
      </c>
      <c r="B276" s="17">
        <f>IF(A276&lt;=12,ST_M1+(ST_M12-ST_M1)*(A276-1)/11,IF(A276&lt;=36,ST_M12+(ST_M36-ST_M12)*(A276-12)/24,ST_M36))</f>
        <v>0.375</v>
      </c>
      <c r="C276" s="81">
        <f>Routed_M_P*SUM(B$224:B276)/10^5</f>
        <v>1787.281975</v>
      </c>
      <c r="D276" s="85">
        <f>(Routed_M_P*($B276*Prof1-(1-$B276)*Rent_Unsold)-Maint_P)/10^7</f>
        <v>1.710689548</v>
      </c>
      <c r="E276" s="85">
        <f>(Routed_M_P*($B276*Prof2-(1-$B276)*Rent_Unsold)-Maint_P)/10^7</f>
        <v>-2.798852863</v>
      </c>
      <c r="F276" s="85">
        <f>(Routed_M_P*($B276*Prof3-(1-$B276)*Rent_Unsold)-Maint_P)/10^7</f>
        <v>-7.308395273</v>
      </c>
      <c r="G276" s="85">
        <f>SUM(D$224:D276)-OneTime_P/10^7</f>
        <v>29.38707909</v>
      </c>
      <c r="H276" s="85">
        <f>SUM(E$224:E276)-OneTime_P/10^7</f>
        <v>-149.3411185</v>
      </c>
      <c r="I276" s="85">
        <f>SUM(F$224:F276)-OneTime_P/10^7</f>
        <v>-328.069316</v>
      </c>
      <c r="J276" s="85">
        <f>G276+$C276*RTO_Avoid_Sale/100</f>
        <v>2174.12545</v>
      </c>
      <c r="K276" s="85">
        <f>H276+$C276*RTO_Avoid_Sale/100</f>
        <v>1995.397252</v>
      </c>
      <c r="L276" s="85">
        <f>I276+$C276*RTO_Avoid_Sale/100</f>
        <v>1816.669055</v>
      </c>
    </row>
    <row r="277">
      <c r="A277" s="84">
        <v>54.0</v>
      </c>
      <c r="B277" s="17">
        <f>IF(A277&lt;=12,ST_M1+(ST_M12-ST_M1)*(A277-1)/11,IF(A277&lt;=36,ST_M12+(ST_M36-ST_M12)*(A277-12)/24,ST_M36))</f>
        <v>0.375</v>
      </c>
      <c r="C277" s="81">
        <f>Routed_M_P*SUM(B$224:B277)/10^5</f>
        <v>1832.3774</v>
      </c>
      <c r="D277" s="85">
        <f>(Routed_M_P*($B277*Prof1-(1-$B277)*Rent_Unsold)-Maint_P)/10^7</f>
        <v>1.710689548</v>
      </c>
      <c r="E277" s="85">
        <f>(Routed_M_P*($B277*Prof2-(1-$B277)*Rent_Unsold)-Maint_P)/10^7</f>
        <v>-2.798852863</v>
      </c>
      <c r="F277" s="85">
        <f>(Routed_M_P*($B277*Prof3-(1-$B277)*Rent_Unsold)-Maint_P)/10^7</f>
        <v>-7.308395273</v>
      </c>
      <c r="G277" s="85">
        <f>SUM(D$224:D277)-OneTime_P/10^7</f>
        <v>31.09776863</v>
      </c>
      <c r="H277" s="85">
        <f>SUM(E$224:E277)-OneTime_P/10^7</f>
        <v>-152.1399713</v>
      </c>
      <c r="I277" s="85">
        <f>SUM(F$224:F277)-OneTime_P/10^7</f>
        <v>-335.3777113</v>
      </c>
      <c r="J277" s="85">
        <f>G277+$C277*RTO_Avoid_Sale/100</f>
        <v>2229.950648</v>
      </c>
      <c r="K277" s="85">
        <f>H277+$C277*RTO_Avoid_Sale/100</f>
        <v>2046.712908</v>
      </c>
      <c r="L277" s="85">
        <f>I277+$C277*RTO_Avoid_Sale/100</f>
        <v>1863.475168</v>
      </c>
    </row>
    <row r="278">
      <c r="A278" s="84">
        <v>55.0</v>
      </c>
      <c r="B278" s="17">
        <f>IF(A278&lt;=12,ST_M1+(ST_M12-ST_M1)*(A278-1)/11,IF(A278&lt;=36,ST_M12+(ST_M36-ST_M12)*(A278-12)/24,ST_M36))</f>
        <v>0.375</v>
      </c>
      <c r="C278" s="81">
        <f>Routed_M_P*SUM(B$224:B278)/10^5</f>
        <v>1877.472824</v>
      </c>
      <c r="D278" s="85">
        <f>(Routed_M_P*($B278*Prof1-(1-$B278)*Rent_Unsold)-Maint_P)/10^7</f>
        <v>1.710689548</v>
      </c>
      <c r="E278" s="85">
        <f>(Routed_M_P*($B278*Prof2-(1-$B278)*Rent_Unsold)-Maint_P)/10^7</f>
        <v>-2.798852863</v>
      </c>
      <c r="F278" s="85">
        <f>(Routed_M_P*($B278*Prof3-(1-$B278)*Rent_Unsold)-Maint_P)/10^7</f>
        <v>-7.308395273</v>
      </c>
      <c r="G278" s="85">
        <f>SUM(D$224:D278)-OneTime_P/10^7</f>
        <v>32.80845818</v>
      </c>
      <c r="H278" s="85">
        <f>SUM(E$224:E278)-OneTime_P/10^7</f>
        <v>-154.9388242</v>
      </c>
      <c r="I278" s="85">
        <f>SUM(F$224:F278)-OneTime_P/10^7</f>
        <v>-342.6861066</v>
      </c>
      <c r="J278" s="85">
        <f>G278+$C278*RTO_Avoid_Sale/100</f>
        <v>2285.775847</v>
      </c>
      <c r="K278" s="85">
        <f>H278+$C278*RTO_Avoid_Sale/100</f>
        <v>2098.028564</v>
      </c>
      <c r="L278" s="85">
        <f>I278+$C278*RTO_Avoid_Sale/100</f>
        <v>1910.281282</v>
      </c>
    </row>
    <row r="279">
      <c r="A279" s="84">
        <v>56.0</v>
      </c>
      <c r="B279" s="17">
        <f>IF(A279&lt;=12,ST_M1+(ST_M12-ST_M1)*(A279-1)/11,IF(A279&lt;=36,ST_M12+(ST_M36-ST_M12)*(A279-12)/24,ST_M36))</f>
        <v>0.375</v>
      </c>
      <c r="C279" s="81">
        <f>Routed_M_P*SUM(B$224:B279)/10^5</f>
        <v>1922.568248</v>
      </c>
      <c r="D279" s="85">
        <f>(Routed_M_P*($B279*Prof1-(1-$B279)*Rent_Unsold)-Maint_P)/10^7</f>
        <v>1.710689548</v>
      </c>
      <c r="E279" s="85">
        <f>(Routed_M_P*($B279*Prof2-(1-$B279)*Rent_Unsold)-Maint_P)/10^7</f>
        <v>-2.798852863</v>
      </c>
      <c r="F279" s="85">
        <f>(Routed_M_P*($B279*Prof3-(1-$B279)*Rent_Unsold)-Maint_P)/10^7</f>
        <v>-7.308395273</v>
      </c>
      <c r="G279" s="85">
        <f>SUM(D$224:D279)-OneTime_P/10^7</f>
        <v>34.51914773</v>
      </c>
      <c r="H279" s="85">
        <f>SUM(E$224:E279)-OneTime_P/10^7</f>
        <v>-157.737677</v>
      </c>
      <c r="I279" s="85">
        <f>SUM(F$224:F279)-OneTime_P/10^7</f>
        <v>-349.9945018</v>
      </c>
      <c r="J279" s="85">
        <f>G279+$C279*RTO_Avoid_Sale/100</f>
        <v>2341.601045</v>
      </c>
      <c r="K279" s="85">
        <f>H279+$C279*RTO_Avoid_Sale/100</f>
        <v>2149.34422</v>
      </c>
      <c r="L279" s="85">
        <f>I279+$C279*RTO_Avoid_Sale/100</f>
        <v>1957.087395</v>
      </c>
    </row>
    <row r="280">
      <c r="A280" s="84">
        <v>57.0</v>
      </c>
      <c r="B280" s="17">
        <f>IF(A280&lt;=12,ST_M1+(ST_M12-ST_M1)*(A280-1)/11,IF(A280&lt;=36,ST_M12+(ST_M36-ST_M12)*(A280-12)/24,ST_M36))</f>
        <v>0.375</v>
      </c>
      <c r="C280" s="81">
        <f>Routed_M_P*SUM(B$224:B280)/10^5</f>
        <v>1967.663672</v>
      </c>
      <c r="D280" s="85">
        <f>(Routed_M_P*($B280*Prof1-(1-$B280)*Rent_Unsold)-Maint_P)/10^7</f>
        <v>1.710689548</v>
      </c>
      <c r="E280" s="85">
        <f>(Routed_M_P*($B280*Prof2-(1-$B280)*Rent_Unsold)-Maint_P)/10^7</f>
        <v>-2.798852863</v>
      </c>
      <c r="F280" s="85">
        <f>(Routed_M_P*($B280*Prof3-(1-$B280)*Rent_Unsold)-Maint_P)/10^7</f>
        <v>-7.308395273</v>
      </c>
      <c r="G280" s="85">
        <f>SUM(D$224:D280)-OneTime_P/10^7</f>
        <v>36.22983728</v>
      </c>
      <c r="H280" s="85">
        <f>SUM(E$224:E280)-OneTime_P/10^7</f>
        <v>-160.5365299</v>
      </c>
      <c r="I280" s="85">
        <f>SUM(F$224:F280)-OneTime_P/10^7</f>
        <v>-357.3028971</v>
      </c>
      <c r="J280" s="85">
        <f>G280+$C280*RTO_Avoid_Sale/100</f>
        <v>2397.426244</v>
      </c>
      <c r="K280" s="85">
        <f>H280+$C280*RTO_Avoid_Sale/100</f>
        <v>2200.659876</v>
      </c>
      <c r="L280" s="85">
        <f>I280+$C280*RTO_Avoid_Sale/100</f>
        <v>2003.893509</v>
      </c>
    </row>
    <row r="281">
      <c r="A281" s="84">
        <v>58.0</v>
      </c>
      <c r="B281" s="17">
        <f>IF(A281&lt;=12,ST_M1+(ST_M12-ST_M1)*(A281-1)/11,IF(A281&lt;=36,ST_M12+(ST_M36-ST_M12)*(A281-12)/24,ST_M36))</f>
        <v>0.375</v>
      </c>
      <c r="C281" s="81">
        <f>Routed_M_P*SUM(B$224:B281)/10^5</f>
        <v>2012.759096</v>
      </c>
      <c r="D281" s="85">
        <f>(Routed_M_P*($B281*Prof1-(1-$B281)*Rent_Unsold)-Maint_P)/10^7</f>
        <v>1.710689548</v>
      </c>
      <c r="E281" s="85">
        <f>(Routed_M_P*($B281*Prof2-(1-$B281)*Rent_Unsold)-Maint_P)/10^7</f>
        <v>-2.798852863</v>
      </c>
      <c r="F281" s="85">
        <f>(Routed_M_P*($B281*Prof3-(1-$B281)*Rent_Unsold)-Maint_P)/10^7</f>
        <v>-7.308395273</v>
      </c>
      <c r="G281" s="85">
        <f>SUM(D$224:D281)-OneTime_P/10^7</f>
        <v>37.94052683</v>
      </c>
      <c r="H281" s="85">
        <f>SUM(E$224:E281)-OneTime_P/10^7</f>
        <v>-163.3353828</v>
      </c>
      <c r="I281" s="85">
        <f>SUM(F$224:F281)-OneTime_P/10^7</f>
        <v>-364.6112924</v>
      </c>
      <c r="J281" s="85">
        <f>G281+$C281*RTO_Avoid_Sale/100</f>
        <v>2453.251442</v>
      </c>
      <c r="K281" s="85">
        <f>H281+$C281*RTO_Avoid_Sale/100</f>
        <v>2251.975532</v>
      </c>
      <c r="L281" s="85">
        <f>I281+$C281*RTO_Avoid_Sale/100</f>
        <v>2050.699623</v>
      </c>
    </row>
    <row r="282">
      <c r="A282" s="84">
        <v>59.0</v>
      </c>
      <c r="B282" s="17">
        <f>IF(A282&lt;=12,ST_M1+(ST_M12-ST_M1)*(A282-1)/11,IF(A282&lt;=36,ST_M12+(ST_M36-ST_M12)*(A282-12)/24,ST_M36))</f>
        <v>0.375</v>
      </c>
      <c r="C282" s="81">
        <f>Routed_M_P*SUM(B$224:B282)/10^5</f>
        <v>2057.85452</v>
      </c>
      <c r="D282" s="85">
        <f>(Routed_M_P*($B282*Prof1-(1-$B282)*Rent_Unsold)-Maint_P)/10^7</f>
        <v>1.710689548</v>
      </c>
      <c r="E282" s="85">
        <f>(Routed_M_P*($B282*Prof2-(1-$B282)*Rent_Unsold)-Maint_P)/10^7</f>
        <v>-2.798852863</v>
      </c>
      <c r="F282" s="85">
        <f>(Routed_M_P*($B282*Prof3-(1-$B282)*Rent_Unsold)-Maint_P)/10^7</f>
        <v>-7.308395273</v>
      </c>
      <c r="G282" s="85">
        <f>SUM(D$224:D282)-OneTime_P/10^7</f>
        <v>39.65121637</v>
      </c>
      <c r="H282" s="85">
        <f>SUM(E$224:E282)-OneTime_P/10^7</f>
        <v>-166.1342356</v>
      </c>
      <c r="I282" s="85">
        <f>SUM(F$224:F282)-OneTime_P/10^7</f>
        <v>-371.9196876</v>
      </c>
      <c r="J282" s="85">
        <f>G282+$C282*RTO_Avoid_Sale/100</f>
        <v>2509.07664</v>
      </c>
      <c r="K282" s="85">
        <f>H282+$C282*RTO_Avoid_Sale/100</f>
        <v>2303.291188</v>
      </c>
      <c r="L282" s="85">
        <f>I282+$C282*RTO_Avoid_Sale/100</f>
        <v>2097.505736</v>
      </c>
    </row>
    <row r="283">
      <c r="A283" s="84">
        <v>60.0</v>
      </c>
      <c r="B283" s="17">
        <f>IF(A283&lt;=12,ST_M1+(ST_M12-ST_M1)*(A283-1)/11,IF(A283&lt;=36,ST_M12+(ST_M36-ST_M12)*(A283-12)/24,ST_M36))</f>
        <v>0.375</v>
      </c>
      <c r="C283" s="81">
        <f>Routed_M_P*SUM(B$224:B283)/10^5</f>
        <v>2102.949944</v>
      </c>
      <c r="D283" s="85">
        <f>(Routed_M_P*($B283*Prof1-(1-$B283)*Rent_Unsold)-Maint_P)/10^7</f>
        <v>1.710689548</v>
      </c>
      <c r="E283" s="85">
        <f>(Routed_M_P*($B283*Prof2-(1-$B283)*Rent_Unsold)-Maint_P)/10^7</f>
        <v>-2.798852863</v>
      </c>
      <c r="F283" s="85">
        <f>(Routed_M_P*($B283*Prof3-(1-$B283)*Rent_Unsold)-Maint_P)/10^7</f>
        <v>-7.308395273</v>
      </c>
      <c r="G283" s="85">
        <f>SUM(D$224:D283)-OneTime_P/10^7</f>
        <v>41.36190592</v>
      </c>
      <c r="H283" s="85">
        <f>SUM(E$224:E283)-OneTime_P/10^7</f>
        <v>-168.9330885</v>
      </c>
      <c r="I283" s="85">
        <f>SUM(F$224:F283)-OneTime_P/10^7</f>
        <v>-379.2280829</v>
      </c>
      <c r="J283" s="85">
        <f>G283+$C283*RTO_Avoid_Sale/100</f>
        <v>2564.901839</v>
      </c>
      <c r="K283" s="85">
        <f>H283+$C283*RTO_Avoid_Sale/100</f>
        <v>2354.606845</v>
      </c>
      <c r="L283" s="85">
        <f>I283+$C283*RTO_Avoid_Sale/100</f>
        <v>2144.31185</v>
      </c>
    </row>
    <row r="284">
      <c r="A284" s="84">
        <v>61.0</v>
      </c>
      <c r="B284" s="17">
        <f>IF(A284&lt;=12,ST_M1+(ST_M12-ST_M1)*(A284-1)/11,IF(A284&lt;=36,ST_M12+(ST_M36-ST_M12)*(A284-12)/24,ST_M36))</f>
        <v>0.375</v>
      </c>
      <c r="C284" s="81">
        <f>Routed_M_P*SUM(B$224:B284)/10^5</f>
        <v>2148.045368</v>
      </c>
      <c r="D284" s="85">
        <f>(Routed_M_P*($B284*Prof1-(1-$B284)*Rent_Unsold)-Maint_P)/10^7</f>
        <v>1.710689548</v>
      </c>
      <c r="E284" s="85">
        <f>(Routed_M_P*($B284*Prof2-(1-$B284)*Rent_Unsold)-Maint_P)/10^7</f>
        <v>-2.798852863</v>
      </c>
      <c r="F284" s="85">
        <f>(Routed_M_P*($B284*Prof3-(1-$B284)*Rent_Unsold)-Maint_P)/10^7</f>
        <v>-7.308395273</v>
      </c>
      <c r="G284" s="85">
        <f>SUM(D$224:D284)-OneTime_P/10^7</f>
        <v>43.07259547</v>
      </c>
      <c r="H284" s="85">
        <f>SUM(E$224:E284)-OneTime_P/10^7</f>
        <v>-171.7319414</v>
      </c>
      <c r="I284" s="85">
        <f>SUM(F$224:F284)-OneTime_P/10^7</f>
        <v>-386.5364782</v>
      </c>
      <c r="J284" s="85">
        <f>G284+$C284*RTO_Avoid_Sale/100</f>
        <v>2620.727037</v>
      </c>
      <c r="K284" s="85">
        <f>H284+$C284*RTO_Avoid_Sale/100</f>
        <v>2405.922501</v>
      </c>
      <c r="L284" s="85">
        <f>I284+$C284*RTO_Avoid_Sale/100</f>
        <v>2191.117964</v>
      </c>
    </row>
    <row r="285">
      <c r="A285" s="84">
        <v>62.0</v>
      </c>
      <c r="B285" s="17">
        <f>IF(A285&lt;=12,ST_M1+(ST_M12-ST_M1)*(A285-1)/11,IF(A285&lt;=36,ST_M12+(ST_M36-ST_M12)*(A285-12)/24,ST_M36))</f>
        <v>0.375</v>
      </c>
      <c r="C285" s="81">
        <f>Routed_M_P*SUM(B$224:B285)/10^5</f>
        <v>2193.140792</v>
      </c>
      <c r="D285" s="85">
        <f>(Routed_M_P*($B285*Prof1-(1-$B285)*Rent_Unsold)-Maint_P)/10^7</f>
        <v>1.710689548</v>
      </c>
      <c r="E285" s="85">
        <f>(Routed_M_P*($B285*Prof2-(1-$B285)*Rent_Unsold)-Maint_P)/10^7</f>
        <v>-2.798852863</v>
      </c>
      <c r="F285" s="85">
        <f>(Routed_M_P*($B285*Prof3-(1-$B285)*Rent_Unsold)-Maint_P)/10^7</f>
        <v>-7.308395273</v>
      </c>
      <c r="G285" s="85">
        <f>SUM(D$224:D285)-OneTime_P/10^7</f>
        <v>44.78328502</v>
      </c>
      <c r="H285" s="85">
        <f>SUM(E$224:E285)-OneTime_P/10^7</f>
        <v>-174.5307942</v>
      </c>
      <c r="I285" s="85">
        <f>SUM(F$224:F285)-OneTime_P/10^7</f>
        <v>-393.8448735</v>
      </c>
      <c r="J285" s="85">
        <f>G285+$C285*RTO_Avoid_Sale/100</f>
        <v>2676.552236</v>
      </c>
      <c r="K285" s="85">
        <f>H285+$C285*RTO_Avoid_Sale/100</f>
        <v>2457.238157</v>
      </c>
      <c r="L285" s="85">
        <f>I285+$C285*RTO_Avoid_Sale/100</f>
        <v>2237.924077</v>
      </c>
    </row>
    <row r="286">
      <c r="A286" s="84">
        <v>63.0</v>
      </c>
      <c r="B286" s="17">
        <f>IF(A286&lt;=12,ST_M1+(ST_M12-ST_M1)*(A286-1)/11,IF(A286&lt;=36,ST_M12+(ST_M36-ST_M12)*(A286-12)/24,ST_M36))</f>
        <v>0.375</v>
      </c>
      <c r="C286" s="81">
        <f>Routed_M_P*SUM(B$224:B286)/10^5</f>
        <v>2238.236217</v>
      </c>
      <c r="D286" s="85">
        <f>(Routed_M_P*($B286*Prof1-(1-$B286)*Rent_Unsold)-Maint_P)/10^7</f>
        <v>1.710689548</v>
      </c>
      <c r="E286" s="85">
        <f>(Routed_M_P*($B286*Prof2-(1-$B286)*Rent_Unsold)-Maint_P)/10^7</f>
        <v>-2.798852863</v>
      </c>
      <c r="F286" s="85">
        <f>(Routed_M_P*($B286*Prof3-(1-$B286)*Rent_Unsold)-Maint_P)/10^7</f>
        <v>-7.308395273</v>
      </c>
      <c r="G286" s="85">
        <f>SUM(D$224:D286)-OneTime_P/10^7</f>
        <v>46.49397457</v>
      </c>
      <c r="H286" s="85">
        <f>SUM(E$224:E286)-OneTime_P/10^7</f>
        <v>-177.3296471</v>
      </c>
      <c r="I286" s="85">
        <f>SUM(F$224:F286)-OneTime_P/10^7</f>
        <v>-401.1532687</v>
      </c>
      <c r="J286" s="85">
        <f>G286+$C286*RTO_Avoid_Sale/100</f>
        <v>2732.377434</v>
      </c>
      <c r="K286" s="85">
        <f>H286+$C286*RTO_Avoid_Sale/100</f>
        <v>2508.553813</v>
      </c>
      <c r="L286" s="85">
        <f>I286+$C286*RTO_Avoid_Sale/100</f>
        <v>2284.730191</v>
      </c>
    </row>
    <row r="287">
      <c r="A287" s="84">
        <v>64.0</v>
      </c>
      <c r="B287" s="17">
        <f>IF(A287&lt;=12,ST_M1+(ST_M12-ST_M1)*(A287-1)/11,IF(A287&lt;=36,ST_M12+(ST_M36-ST_M12)*(A287-12)/24,ST_M36))</f>
        <v>0.375</v>
      </c>
      <c r="C287" s="81">
        <f>Routed_M_P*SUM(B$224:B287)/10^5</f>
        <v>2283.331641</v>
      </c>
      <c r="D287" s="85">
        <f>(Routed_M_P*($B287*Prof1-(1-$B287)*Rent_Unsold)-Maint_P)/10^7</f>
        <v>1.710689548</v>
      </c>
      <c r="E287" s="85">
        <f>(Routed_M_P*($B287*Prof2-(1-$B287)*Rent_Unsold)-Maint_P)/10^7</f>
        <v>-2.798852863</v>
      </c>
      <c r="F287" s="85">
        <f>(Routed_M_P*($B287*Prof3-(1-$B287)*Rent_Unsold)-Maint_P)/10^7</f>
        <v>-7.308395273</v>
      </c>
      <c r="G287" s="85">
        <f>SUM(D$224:D287)-OneTime_P/10^7</f>
        <v>48.20466411</v>
      </c>
      <c r="H287" s="85">
        <f>SUM(E$224:E287)-OneTime_P/10^7</f>
        <v>-180.1284999</v>
      </c>
      <c r="I287" s="85">
        <f>SUM(F$224:F287)-OneTime_P/10^7</f>
        <v>-408.461664</v>
      </c>
      <c r="J287" s="85">
        <f>G287+$C287*RTO_Avoid_Sale/100</f>
        <v>2788.202633</v>
      </c>
      <c r="K287" s="85">
        <f>H287+$C287*RTO_Avoid_Sale/100</f>
        <v>2559.869469</v>
      </c>
      <c r="L287" s="85">
        <f>I287+$C287*RTO_Avoid_Sale/100</f>
        <v>2331.536305</v>
      </c>
    </row>
    <row r="288">
      <c r="A288" s="84">
        <v>65.0</v>
      </c>
      <c r="B288" s="17">
        <f>IF(A288&lt;=12,ST_M1+(ST_M12-ST_M1)*(A288-1)/11,IF(A288&lt;=36,ST_M12+(ST_M36-ST_M12)*(A288-12)/24,ST_M36))</f>
        <v>0.375</v>
      </c>
      <c r="C288" s="81">
        <f>Routed_M_P*SUM(B$224:B288)/10^5</f>
        <v>2328.427065</v>
      </c>
      <c r="D288" s="85">
        <f>(Routed_M_P*($B288*Prof1-(1-$B288)*Rent_Unsold)-Maint_P)/10^7</f>
        <v>1.710689548</v>
      </c>
      <c r="E288" s="85">
        <f>(Routed_M_P*($B288*Prof2-(1-$B288)*Rent_Unsold)-Maint_P)/10^7</f>
        <v>-2.798852863</v>
      </c>
      <c r="F288" s="85">
        <f>(Routed_M_P*($B288*Prof3-(1-$B288)*Rent_Unsold)-Maint_P)/10^7</f>
        <v>-7.308395273</v>
      </c>
      <c r="G288" s="85">
        <f>SUM(D$224:D288)-OneTime_P/10^7</f>
        <v>49.91535366</v>
      </c>
      <c r="H288" s="85">
        <f>SUM(E$224:E288)-OneTime_P/10^7</f>
        <v>-182.9273528</v>
      </c>
      <c r="I288" s="85">
        <f>SUM(F$224:F288)-OneTime_P/10^7</f>
        <v>-415.7700593</v>
      </c>
      <c r="J288" s="85">
        <f>G288+$C288*RTO_Avoid_Sale/100</f>
        <v>2844.027831</v>
      </c>
      <c r="K288" s="85">
        <f>H288+$C288*RTO_Avoid_Sale/100</f>
        <v>2611.185125</v>
      </c>
      <c r="L288" s="85">
        <f>I288+$C288*RTO_Avoid_Sale/100</f>
        <v>2378.342418</v>
      </c>
    </row>
    <row r="289">
      <c r="A289" s="84">
        <v>66.0</v>
      </c>
      <c r="B289" s="17">
        <f>IF(A289&lt;=12,ST_M1+(ST_M12-ST_M1)*(A289-1)/11,IF(A289&lt;=36,ST_M12+(ST_M36-ST_M12)*(A289-12)/24,ST_M36))</f>
        <v>0.375</v>
      </c>
      <c r="C289" s="81">
        <f>Routed_M_P*SUM(B$224:B289)/10^5</f>
        <v>2373.522489</v>
      </c>
      <c r="D289" s="85">
        <f>(Routed_M_P*($B289*Prof1-(1-$B289)*Rent_Unsold)-Maint_P)/10^7</f>
        <v>1.710689548</v>
      </c>
      <c r="E289" s="85">
        <f>(Routed_M_P*($B289*Prof2-(1-$B289)*Rent_Unsold)-Maint_P)/10^7</f>
        <v>-2.798852863</v>
      </c>
      <c r="F289" s="85">
        <f>(Routed_M_P*($B289*Prof3-(1-$B289)*Rent_Unsold)-Maint_P)/10^7</f>
        <v>-7.308395273</v>
      </c>
      <c r="G289" s="85">
        <f>SUM(D$224:D289)-OneTime_P/10^7</f>
        <v>51.62604321</v>
      </c>
      <c r="H289" s="85">
        <f>SUM(E$224:E289)-OneTime_P/10^7</f>
        <v>-185.7262057</v>
      </c>
      <c r="I289" s="85">
        <f>SUM(F$224:F289)-OneTime_P/10^7</f>
        <v>-423.0784546</v>
      </c>
      <c r="J289" s="85">
        <f>G289+$C289*RTO_Avoid_Sale/100</f>
        <v>2899.85303</v>
      </c>
      <c r="K289" s="85">
        <f>H289+$C289*RTO_Avoid_Sale/100</f>
        <v>2662.500781</v>
      </c>
      <c r="L289" s="85">
        <f>I289+$C289*RTO_Avoid_Sale/100</f>
        <v>2425.148532</v>
      </c>
    </row>
    <row r="290">
      <c r="A290" s="84">
        <v>67.0</v>
      </c>
      <c r="B290" s="17">
        <f>IF(A290&lt;=12,ST_M1+(ST_M12-ST_M1)*(A290-1)/11,IF(A290&lt;=36,ST_M12+(ST_M36-ST_M12)*(A290-12)/24,ST_M36))</f>
        <v>0.375</v>
      </c>
      <c r="C290" s="81">
        <f>Routed_M_P*SUM(B$224:B290)/10^5</f>
        <v>2418.617913</v>
      </c>
      <c r="D290" s="85">
        <f>(Routed_M_P*($B290*Prof1-(1-$B290)*Rent_Unsold)-Maint_P)/10^7</f>
        <v>1.710689548</v>
      </c>
      <c r="E290" s="85">
        <f>(Routed_M_P*($B290*Prof2-(1-$B290)*Rent_Unsold)-Maint_P)/10^7</f>
        <v>-2.798852863</v>
      </c>
      <c r="F290" s="85">
        <f>(Routed_M_P*($B290*Prof3-(1-$B290)*Rent_Unsold)-Maint_P)/10^7</f>
        <v>-7.308395273</v>
      </c>
      <c r="G290" s="85">
        <f>SUM(D$224:D290)-OneTime_P/10^7</f>
        <v>53.33673276</v>
      </c>
      <c r="H290" s="85">
        <f>SUM(E$224:E290)-OneTime_P/10^7</f>
        <v>-188.5250585</v>
      </c>
      <c r="I290" s="85">
        <f>SUM(F$224:F290)-OneTime_P/10^7</f>
        <v>-430.3868498</v>
      </c>
      <c r="J290" s="85">
        <f>G290+$C290*RTO_Avoid_Sale/100</f>
        <v>2955.678228</v>
      </c>
      <c r="K290" s="85">
        <f>H290+$C290*RTO_Avoid_Sale/100</f>
        <v>2713.816437</v>
      </c>
      <c r="L290" s="85">
        <f>I290+$C290*RTO_Avoid_Sale/100</f>
        <v>2471.954646</v>
      </c>
    </row>
    <row r="291">
      <c r="A291" s="84">
        <v>68.0</v>
      </c>
      <c r="B291" s="17">
        <f>IF(A291&lt;=12,ST_M1+(ST_M12-ST_M1)*(A291-1)/11,IF(A291&lt;=36,ST_M12+(ST_M36-ST_M12)*(A291-12)/24,ST_M36))</f>
        <v>0.375</v>
      </c>
      <c r="C291" s="81">
        <f>Routed_M_P*SUM(B$224:B291)/10^5</f>
        <v>2463.713337</v>
      </c>
      <c r="D291" s="85">
        <f>(Routed_M_P*($B291*Prof1-(1-$B291)*Rent_Unsold)-Maint_P)/10^7</f>
        <v>1.710689548</v>
      </c>
      <c r="E291" s="85">
        <f>(Routed_M_P*($B291*Prof2-(1-$B291)*Rent_Unsold)-Maint_P)/10^7</f>
        <v>-2.798852863</v>
      </c>
      <c r="F291" s="85">
        <f>(Routed_M_P*($B291*Prof3-(1-$B291)*Rent_Unsold)-Maint_P)/10^7</f>
        <v>-7.308395273</v>
      </c>
      <c r="G291" s="85">
        <f>SUM(D$224:D291)-OneTime_P/10^7</f>
        <v>55.04742231</v>
      </c>
      <c r="H291" s="85">
        <f>SUM(E$224:E291)-OneTime_P/10^7</f>
        <v>-191.3239114</v>
      </c>
      <c r="I291" s="85">
        <f>SUM(F$224:F291)-OneTime_P/10^7</f>
        <v>-437.6952451</v>
      </c>
      <c r="J291" s="85">
        <f>G291+$C291*RTO_Avoid_Sale/100</f>
        <v>3011.503427</v>
      </c>
      <c r="K291" s="85">
        <f>H291+$C291*RTO_Avoid_Sale/100</f>
        <v>2765.132093</v>
      </c>
      <c r="L291" s="85">
        <f>I291+$C291*RTO_Avoid_Sale/100</f>
        <v>2518.760759</v>
      </c>
    </row>
    <row r="292">
      <c r="A292" s="84">
        <v>69.0</v>
      </c>
      <c r="B292" s="17">
        <f>IF(A292&lt;=12,ST_M1+(ST_M12-ST_M1)*(A292-1)/11,IF(A292&lt;=36,ST_M12+(ST_M36-ST_M12)*(A292-12)/24,ST_M36))</f>
        <v>0.375</v>
      </c>
      <c r="C292" s="81">
        <f>Routed_M_P*SUM(B$224:B292)/10^5</f>
        <v>2508.808761</v>
      </c>
      <c r="D292" s="85">
        <f>(Routed_M_P*($B292*Prof1-(1-$B292)*Rent_Unsold)-Maint_P)/10^7</f>
        <v>1.710689548</v>
      </c>
      <c r="E292" s="85">
        <f>(Routed_M_P*($B292*Prof2-(1-$B292)*Rent_Unsold)-Maint_P)/10^7</f>
        <v>-2.798852863</v>
      </c>
      <c r="F292" s="85">
        <f>(Routed_M_P*($B292*Prof3-(1-$B292)*Rent_Unsold)-Maint_P)/10^7</f>
        <v>-7.308395273</v>
      </c>
      <c r="G292" s="85">
        <f>SUM(D$224:D292)-OneTime_P/10^7</f>
        <v>56.75811185</v>
      </c>
      <c r="H292" s="85">
        <f>SUM(E$224:E292)-OneTime_P/10^7</f>
        <v>-194.1227643</v>
      </c>
      <c r="I292" s="85">
        <f>SUM(F$224:F292)-OneTime_P/10^7</f>
        <v>-445.0036404</v>
      </c>
      <c r="J292" s="85">
        <f>G292+$C292*RTO_Avoid_Sale/100</f>
        <v>3067.328625</v>
      </c>
      <c r="K292" s="85">
        <f>H292+$C292*RTO_Avoid_Sale/100</f>
        <v>2816.447749</v>
      </c>
      <c r="L292" s="85">
        <f>I292+$C292*RTO_Avoid_Sale/100</f>
        <v>2565.566873</v>
      </c>
    </row>
    <row r="293">
      <c r="A293" s="84">
        <v>70.0</v>
      </c>
      <c r="B293" s="17">
        <f>IF(A293&lt;=12,ST_M1+(ST_M12-ST_M1)*(A293-1)/11,IF(A293&lt;=36,ST_M12+(ST_M36-ST_M12)*(A293-12)/24,ST_M36))</f>
        <v>0.375</v>
      </c>
      <c r="C293" s="81">
        <f>Routed_M_P*SUM(B$224:B293)/10^5</f>
        <v>2553.904185</v>
      </c>
      <c r="D293" s="85">
        <f>(Routed_M_P*($B293*Prof1-(1-$B293)*Rent_Unsold)-Maint_P)/10^7</f>
        <v>1.710689548</v>
      </c>
      <c r="E293" s="85">
        <f>(Routed_M_P*($B293*Prof2-(1-$B293)*Rent_Unsold)-Maint_P)/10^7</f>
        <v>-2.798852863</v>
      </c>
      <c r="F293" s="85">
        <f>(Routed_M_P*($B293*Prof3-(1-$B293)*Rent_Unsold)-Maint_P)/10^7</f>
        <v>-7.308395273</v>
      </c>
      <c r="G293" s="85">
        <f>SUM(D$224:D293)-OneTime_P/10^7</f>
        <v>58.4688014</v>
      </c>
      <c r="H293" s="85">
        <f>SUM(E$224:E293)-OneTime_P/10^7</f>
        <v>-196.9216171</v>
      </c>
      <c r="I293" s="85">
        <f>SUM(F$224:F293)-OneTime_P/10^7</f>
        <v>-452.3120357</v>
      </c>
      <c r="J293" s="85">
        <f>G293+$C293*RTO_Avoid_Sale/100</f>
        <v>3123.153824</v>
      </c>
      <c r="K293" s="85">
        <f>H293+$C293*RTO_Avoid_Sale/100</f>
        <v>2867.763405</v>
      </c>
      <c r="L293" s="85">
        <f>I293+$C293*RTO_Avoid_Sale/100</f>
        <v>2612.372987</v>
      </c>
    </row>
    <row r="294">
      <c r="A294" s="84">
        <v>71.0</v>
      </c>
      <c r="B294" s="17">
        <f>IF(A294&lt;=12,ST_M1+(ST_M12-ST_M1)*(A294-1)/11,IF(A294&lt;=36,ST_M12+(ST_M36-ST_M12)*(A294-12)/24,ST_M36))</f>
        <v>0.375</v>
      </c>
      <c r="C294" s="81">
        <f>Routed_M_P*SUM(B$224:B294)/10^5</f>
        <v>2598.999609</v>
      </c>
      <c r="D294" s="85">
        <f>(Routed_M_P*($B294*Prof1-(1-$B294)*Rent_Unsold)-Maint_P)/10^7</f>
        <v>1.710689548</v>
      </c>
      <c r="E294" s="85">
        <f>(Routed_M_P*($B294*Prof2-(1-$B294)*Rent_Unsold)-Maint_P)/10^7</f>
        <v>-2.798852863</v>
      </c>
      <c r="F294" s="85">
        <f>(Routed_M_P*($B294*Prof3-(1-$B294)*Rent_Unsold)-Maint_P)/10^7</f>
        <v>-7.308395273</v>
      </c>
      <c r="G294" s="85">
        <f>SUM(D$224:D294)-OneTime_P/10^7</f>
        <v>60.17949095</v>
      </c>
      <c r="H294" s="85">
        <f>SUM(E$224:E294)-OneTime_P/10^7</f>
        <v>-199.72047</v>
      </c>
      <c r="I294" s="85">
        <f>SUM(F$224:F294)-OneTime_P/10^7</f>
        <v>-459.6204309</v>
      </c>
      <c r="J294" s="85">
        <f>G294+$C294*RTO_Avoid_Sale/100</f>
        <v>3178.979022</v>
      </c>
      <c r="K294" s="85">
        <f>H294+$C294*RTO_Avoid_Sale/100</f>
        <v>2919.079061</v>
      </c>
      <c r="L294" s="85">
        <f>I294+$C294*RTO_Avoid_Sale/100</f>
        <v>2659.1791</v>
      </c>
    </row>
    <row r="295">
      <c r="A295" s="84">
        <v>72.0</v>
      </c>
      <c r="B295" s="17">
        <f>IF(A295&lt;=12,ST_M1+(ST_M12-ST_M1)*(A295-1)/11,IF(A295&lt;=36,ST_M12+(ST_M36-ST_M12)*(A295-12)/24,ST_M36))</f>
        <v>0.375</v>
      </c>
      <c r="C295" s="81">
        <f>Routed_M_P*SUM(B$224:B295)/10^5</f>
        <v>2644.095033</v>
      </c>
      <c r="D295" s="85">
        <f>(Routed_M_P*($B295*Prof1-(1-$B295)*Rent_Unsold)-Maint_P)/10^7</f>
        <v>1.710689548</v>
      </c>
      <c r="E295" s="85">
        <f>(Routed_M_P*($B295*Prof2-(1-$B295)*Rent_Unsold)-Maint_P)/10^7</f>
        <v>-2.798852863</v>
      </c>
      <c r="F295" s="85">
        <f>(Routed_M_P*($B295*Prof3-(1-$B295)*Rent_Unsold)-Maint_P)/10^7</f>
        <v>-7.308395273</v>
      </c>
      <c r="G295" s="85">
        <f>SUM(D$224:D295)-OneTime_P/10^7</f>
        <v>61.8901805</v>
      </c>
      <c r="H295" s="85">
        <f>SUM(E$224:E295)-OneTime_P/10^7</f>
        <v>-202.5193229</v>
      </c>
      <c r="I295" s="85">
        <f>SUM(F$224:F295)-OneTime_P/10^7</f>
        <v>-466.9288262</v>
      </c>
      <c r="J295" s="85">
        <f>G295+$C295*RTO_Avoid_Sale/100</f>
        <v>3234.804221</v>
      </c>
      <c r="K295" s="85">
        <f>H295+$C295*RTO_Avoid_Sale/100</f>
        <v>2970.394717</v>
      </c>
      <c r="L295" s="85">
        <f>I295+$C295*RTO_Avoid_Sale/100</f>
        <v>2705.985214</v>
      </c>
    </row>
    <row r="296">
      <c r="A296" s="84">
        <v>73.0</v>
      </c>
      <c r="B296" s="17">
        <f>IF(A296&lt;=12,ST_M1+(ST_M12-ST_M1)*(A296-1)/11,IF(A296&lt;=36,ST_M12+(ST_M36-ST_M12)*(A296-12)/24,ST_M36))</f>
        <v>0.375</v>
      </c>
      <c r="C296" s="81">
        <f>Routed_M_P*SUM(B$224:B296)/10^5</f>
        <v>2689.190458</v>
      </c>
      <c r="D296" s="85">
        <f>(Routed_M_P*($B296*Prof1-(1-$B296)*Rent_Unsold)-Maint_P)/10^7</f>
        <v>1.710689548</v>
      </c>
      <c r="E296" s="85">
        <f>(Routed_M_P*($B296*Prof2-(1-$B296)*Rent_Unsold)-Maint_P)/10^7</f>
        <v>-2.798852863</v>
      </c>
      <c r="F296" s="85">
        <f>(Routed_M_P*($B296*Prof3-(1-$B296)*Rent_Unsold)-Maint_P)/10^7</f>
        <v>-7.308395273</v>
      </c>
      <c r="G296" s="85">
        <f>SUM(D$224:D296)-OneTime_P/10^7</f>
        <v>63.60087005</v>
      </c>
      <c r="H296" s="85">
        <f>SUM(E$224:E296)-OneTime_P/10^7</f>
        <v>-205.3181757</v>
      </c>
      <c r="I296" s="85">
        <f>SUM(F$224:F296)-OneTime_P/10^7</f>
        <v>-474.2372215</v>
      </c>
      <c r="J296" s="85">
        <f>G296+$C296*RTO_Avoid_Sale/100</f>
        <v>3290.629419</v>
      </c>
      <c r="K296" s="85">
        <f>H296+$C296*RTO_Avoid_Sale/100</f>
        <v>3021.710373</v>
      </c>
      <c r="L296" s="85">
        <f>I296+$C296*RTO_Avoid_Sale/100</f>
        <v>2752.791328</v>
      </c>
    </row>
    <row r="297">
      <c r="A297" s="84">
        <v>74.0</v>
      </c>
      <c r="B297" s="17">
        <f>IF(A297&lt;=12,ST_M1+(ST_M12-ST_M1)*(A297-1)/11,IF(A297&lt;=36,ST_M12+(ST_M36-ST_M12)*(A297-12)/24,ST_M36))</f>
        <v>0.375</v>
      </c>
      <c r="C297" s="81">
        <f>Routed_M_P*SUM(B$224:B297)/10^5</f>
        <v>2734.285882</v>
      </c>
      <c r="D297" s="85">
        <f>(Routed_M_P*($B297*Prof1-(1-$B297)*Rent_Unsold)-Maint_P)/10^7</f>
        <v>1.710689548</v>
      </c>
      <c r="E297" s="85">
        <f>(Routed_M_P*($B297*Prof2-(1-$B297)*Rent_Unsold)-Maint_P)/10^7</f>
        <v>-2.798852863</v>
      </c>
      <c r="F297" s="85">
        <f>(Routed_M_P*($B297*Prof3-(1-$B297)*Rent_Unsold)-Maint_P)/10^7</f>
        <v>-7.308395273</v>
      </c>
      <c r="G297" s="85">
        <f>SUM(D$224:D297)-OneTime_P/10^7</f>
        <v>65.31155959</v>
      </c>
      <c r="H297" s="85">
        <f>SUM(E$224:E297)-OneTime_P/10^7</f>
        <v>-208.1170286</v>
      </c>
      <c r="I297" s="85">
        <f>SUM(F$224:F297)-OneTime_P/10^7</f>
        <v>-481.5456167</v>
      </c>
      <c r="J297" s="85">
        <f>G297+$C297*RTO_Avoid_Sale/100</f>
        <v>3346.454618</v>
      </c>
      <c r="K297" s="85">
        <f>H297+$C297*RTO_Avoid_Sale/100</f>
        <v>3073.026029</v>
      </c>
      <c r="L297" s="85">
        <f>I297+$C297*RTO_Avoid_Sale/100</f>
        <v>2799.597441</v>
      </c>
    </row>
    <row r="298">
      <c r="A298" s="84">
        <v>75.0</v>
      </c>
      <c r="B298" s="17">
        <f>IF(A298&lt;=12,ST_M1+(ST_M12-ST_M1)*(A298-1)/11,IF(A298&lt;=36,ST_M12+(ST_M36-ST_M12)*(A298-12)/24,ST_M36))</f>
        <v>0.375</v>
      </c>
      <c r="C298" s="81">
        <f>Routed_M_P*SUM(B$224:B298)/10^5</f>
        <v>2779.381306</v>
      </c>
      <c r="D298" s="85">
        <f>(Routed_M_P*($B298*Prof1-(1-$B298)*Rent_Unsold)-Maint_P)/10^7</f>
        <v>1.710689548</v>
      </c>
      <c r="E298" s="85">
        <f>(Routed_M_P*($B298*Prof2-(1-$B298)*Rent_Unsold)-Maint_P)/10^7</f>
        <v>-2.798852863</v>
      </c>
      <c r="F298" s="85">
        <f>(Routed_M_P*($B298*Prof3-(1-$B298)*Rent_Unsold)-Maint_P)/10^7</f>
        <v>-7.308395273</v>
      </c>
      <c r="G298" s="85">
        <f>SUM(D$224:D298)-OneTime_P/10^7</f>
        <v>67.02224914</v>
      </c>
      <c r="H298" s="85">
        <f>SUM(E$224:E298)-OneTime_P/10^7</f>
        <v>-210.9158814</v>
      </c>
      <c r="I298" s="85">
        <f>SUM(F$224:F298)-OneTime_P/10^7</f>
        <v>-488.854012</v>
      </c>
      <c r="J298" s="85">
        <f>G298+$C298*RTO_Avoid_Sale/100</f>
        <v>3402.279816</v>
      </c>
      <c r="K298" s="85">
        <f>H298+$C298*RTO_Avoid_Sale/100</f>
        <v>3124.341686</v>
      </c>
      <c r="L298" s="85">
        <f>I298+$C298*RTO_Avoid_Sale/100</f>
        <v>2846.403555</v>
      </c>
    </row>
    <row r="299">
      <c r="A299" s="84">
        <v>76.0</v>
      </c>
      <c r="B299" s="17">
        <f>IF(A299&lt;=12,ST_M1+(ST_M12-ST_M1)*(A299-1)/11,IF(A299&lt;=36,ST_M12+(ST_M36-ST_M12)*(A299-12)/24,ST_M36))</f>
        <v>0.375</v>
      </c>
      <c r="C299" s="81">
        <f>Routed_M_P*SUM(B$224:B299)/10^5</f>
        <v>2824.47673</v>
      </c>
      <c r="D299" s="85">
        <f>(Routed_M_P*($B299*Prof1-(1-$B299)*Rent_Unsold)-Maint_P)/10^7</f>
        <v>1.710689548</v>
      </c>
      <c r="E299" s="85">
        <f>(Routed_M_P*($B299*Prof2-(1-$B299)*Rent_Unsold)-Maint_P)/10^7</f>
        <v>-2.798852863</v>
      </c>
      <c r="F299" s="85">
        <f>(Routed_M_P*($B299*Prof3-(1-$B299)*Rent_Unsold)-Maint_P)/10^7</f>
        <v>-7.308395273</v>
      </c>
      <c r="G299" s="85">
        <f>SUM(D$224:D299)-OneTime_P/10^7</f>
        <v>68.73293869</v>
      </c>
      <c r="H299" s="85">
        <f>SUM(E$224:E299)-OneTime_P/10^7</f>
        <v>-213.7147343</v>
      </c>
      <c r="I299" s="85">
        <f>SUM(F$224:F299)-OneTime_P/10^7</f>
        <v>-496.1624073</v>
      </c>
      <c r="J299" s="85">
        <f>G299+$C299*RTO_Avoid_Sale/100</f>
        <v>3458.105015</v>
      </c>
      <c r="K299" s="85">
        <f>H299+$C299*RTO_Avoid_Sale/100</f>
        <v>3175.657342</v>
      </c>
      <c r="L299" s="85">
        <f>I299+$C299*RTO_Avoid_Sale/100</f>
        <v>2893.209669</v>
      </c>
    </row>
    <row r="300">
      <c r="A300" s="84">
        <v>77.0</v>
      </c>
      <c r="B300" s="17">
        <f>IF(A300&lt;=12,ST_M1+(ST_M12-ST_M1)*(A300-1)/11,IF(A300&lt;=36,ST_M12+(ST_M36-ST_M12)*(A300-12)/24,ST_M36))</f>
        <v>0.375</v>
      </c>
      <c r="C300" s="81">
        <f>Routed_M_P*SUM(B$224:B300)/10^5</f>
        <v>2869.572154</v>
      </c>
      <c r="D300" s="85">
        <f>(Routed_M_P*($B300*Prof1-(1-$B300)*Rent_Unsold)-Maint_P)/10^7</f>
        <v>1.710689548</v>
      </c>
      <c r="E300" s="85">
        <f>(Routed_M_P*($B300*Prof2-(1-$B300)*Rent_Unsold)-Maint_P)/10^7</f>
        <v>-2.798852863</v>
      </c>
      <c r="F300" s="85">
        <f>(Routed_M_P*($B300*Prof3-(1-$B300)*Rent_Unsold)-Maint_P)/10^7</f>
        <v>-7.308395273</v>
      </c>
      <c r="G300" s="85">
        <f>SUM(D$224:D300)-OneTime_P/10^7</f>
        <v>70.44362824</v>
      </c>
      <c r="H300" s="85">
        <f>SUM(E$224:E300)-OneTime_P/10^7</f>
        <v>-216.5135872</v>
      </c>
      <c r="I300" s="85">
        <f>SUM(F$224:F300)-OneTime_P/10^7</f>
        <v>-503.4708026</v>
      </c>
      <c r="J300" s="85">
        <f>G300+$C300*RTO_Avoid_Sale/100</f>
        <v>3513.930213</v>
      </c>
      <c r="K300" s="85">
        <f>H300+$C300*RTO_Avoid_Sale/100</f>
        <v>3226.972998</v>
      </c>
      <c r="L300" s="85">
        <f>I300+$C300*RTO_Avoid_Sale/100</f>
        <v>2940.015782</v>
      </c>
    </row>
    <row r="301">
      <c r="A301" s="84">
        <v>78.0</v>
      </c>
      <c r="B301" s="17">
        <f>IF(A301&lt;=12,ST_M1+(ST_M12-ST_M1)*(A301-1)/11,IF(A301&lt;=36,ST_M12+(ST_M36-ST_M12)*(A301-12)/24,ST_M36))</f>
        <v>0.375</v>
      </c>
      <c r="C301" s="81">
        <f>Routed_M_P*SUM(B$224:B301)/10^5</f>
        <v>2914.667578</v>
      </c>
      <c r="D301" s="85">
        <f>(Routed_M_P*($B301*Prof1-(1-$B301)*Rent_Unsold)-Maint_P)/10^7</f>
        <v>1.710689548</v>
      </c>
      <c r="E301" s="85">
        <f>(Routed_M_P*($B301*Prof2-(1-$B301)*Rent_Unsold)-Maint_P)/10^7</f>
        <v>-2.798852863</v>
      </c>
      <c r="F301" s="85">
        <f>(Routed_M_P*($B301*Prof3-(1-$B301)*Rent_Unsold)-Maint_P)/10^7</f>
        <v>-7.308395273</v>
      </c>
      <c r="G301" s="85">
        <f>SUM(D$224:D301)-OneTime_P/10^7</f>
        <v>72.15431779</v>
      </c>
      <c r="H301" s="85">
        <f>SUM(E$224:E301)-OneTime_P/10^7</f>
        <v>-219.31244</v>
      </c>
      <c r="I301" s="85">
        <f>SUM(F$224:F301)-OneTime_P/10^7</f>
        <v>-510.7791978</v>
      </c>
      <c r="J301" s="85">
        <f>G301+$C301*RTO_Avoid_Sale/100</f>
        <v>3569.755412</v>
      </c>
      <c r="K301" s="85">
        <f>H301+$C301*RTO_Avoid_Sale/100</f>
        <v>3278.288654</v>
      </c>
      <c r="L301" s="85">
        <f>I301+$C301*RTO_Avoid_Sale/100</f>
        <v>2986.821896</v>
      </c>
    </row>
    <row r="302">
      <c r="A302" s="84">
        <v>79.0</v>
      </c>
      <c r="B302" s="17">
        <f>IF(A302&lt;=12,ST_M1+(ST_M12-ST_M1)*(A302-1)/11,IF(A302&lt;=36,ST_M12+(ST_M36-ST_M12)*(A302-12)/24,ST_M36))</f>
        <v>0.375</v>
      </c>
      <c r="C302" s="81">
        <f>Routed_M_P*SUM(B$224:B302)/10^5</f>
        <v>2959.763002</v>
      </c>
      <c r="D302" s="85">
        <f>(Routed_M_P*($B302*Prof1-(1-$B302)*Rent_Unsold)-Maint_P)/10^7</f>
        <v>1.710689548</v>
      </c>
      <c r="E302" s="85">
        <f>(Routed_M_P*($B302*Prof2-(1-$B302)*Rent_Unsold)-Maint_P)/10^7</f>
        <v>-2.798852863</v>
      </c>
      <c r="F302" s="85">
        <f>(Routed_M_P*($B302*Prof3-(1-$B302)*Rent_Unsold)-Maint_P)/10^7</f>
        <v>-7.308395273</v>
      </c>
      <c r="G302" s="85">
        <f>SUM(D$224:D302)-OneTime_P/10^7</f>
        <v>73.86500733</v>
      </c>
      <c r="H302" s="85">
        <f>SUM(E$224:E302)-OneTime_P/10^7</f>
        <v>-222.1112929</v>
      </c>
      <c r="I302" s="85">
        <f>SUM(F$224:F302)-OneTime_P/10^7</f>
        <v>-518.0875931</v>
      </c>
      <c r="J302" s="85">
        <f>G302+$C302*RTO_Avoid_Sale/100</f>
        <v>3625.58061</v>
      </c>
      <c r="K302" s="85">
        <f>H302+$C302*RTO_Avoid_Sale/100</f>
        <v>3329.60431</v>
      </c>
      <c r="L302" s="85">
        <f>I302+$C302*RTO_Avoid_Sale/100</f>
        <v>3033.62801</v>
      </c>
    </row>
    <row r="303">
      <c r="A303" s="84">
        <v>80.0</v>
      </c>
      <c r="B303" s="17">
        <f>IF(A303&lt;=12,ST_M1+(ST_M12-ST_M1)*(A303-1)/11,IF(A303&lt;=36,ST_M12+(ST_M36-ST_M12)*(A303-12)/24,ST_M36))</f>
        <v>0.375</v>
      </c>
      <c r="C303" s="81">
        <f>Routed_M_P*SUM(B$224:B303)/10^5</f>
        <v>3004.858426</v>
      </c>
      <c r="D303" s="85">
        <f>(Routed_M_P*($B303*Prof1-(1-$B303)*Rent_Unsold)-Maint_P)/10^7</f>
        <v>1.710689548</v>
      </c>
      <c r="E303" s="85">
        <f>(Routed_M_P*($B303*Prof2-(1-$B303)*Rent_Unsold)-Maint_P)/10^7</f>
        <v>-2.798852863</v>
      </c>
      <c r="F303" s="85">
        <f>(Routed_M_P*($B303*Prof3-(1-$B303)*Rent_Unsold)-Maint_P)/10^7</f>
        <v>-7.308395273</v>
      </c>
      <c r="G303" s="85">
        <f>SUM(D$224:D303)-OneTime_P/10^7</f>
        <v>75.57569688</v>
      </c>
      <c r="H303" s="85">
        <f>SUM(E$224:E303)-OneTime_P/10^7</f>
        <v>-224.9101458</v>
      </c>
      <c r="I303" s="85">
        <f>SUM(F$224:F303)-OneTime_P/10^7</f>
        <v>-525.3959884</v>
      </c>
      <c r="J303" s="85">
        <f>G303+$C303*RTO_Avoid_Sale/100</f>
        <v>3681.405808</v>
      </c>
      <c r="K303" s="85">
        <f>H303+$C303*RTO_Avoid_Sale/100</f>
        <v>3380.919966</v>
      </c>
      <c r="L303" s="85">
        <f>I303+$C303*RTO_Avoid_Sale/100</f>
        <v>3080.434123</v>
      </c>
    </row>
    <row r="304">
      <c r="A304" s="84">
        <v>81.0</v>
      </c>
      <c r="B304" s="17">
        <f>IF(A304&lt;=12,ST_M1+(ST_M12-ST_M1)*(A304-1)/11,IF(A304&lt;=36,ST_M12+(ST_M36-ST_M12)*(A304-12)/24,ST_M36))</f>
        <v>0.375</v>
      </c>
      <c r="C304" s="81">
        <f>Routed_M_P*SUM(B$224:B304)/10^5</f>
        <v>3049.95385</v>
      </c>
      <c r="D304" s="85">
        <f>(Routed_M_P*($B304*Prof1-(1-$B304)*Rent_Unsold)-Maint_P)/10^7</f>
        <v>1.710689548</v>
      </c>
      <c r="E304" s="85">
        <f>(Routed_M_P*($B304*Prof2-(1-$B304)*Rent_Unsold)-Maint_P)/10^7</f>
        <v>-2.798852863</v>
      </c>
      <c r="F304" s="85">
        <f>(Routed_M_P*($B304*Prof3-(1-$B304)*Rent_Unsold)-Maint_P)/10^7</f>
        <v>-7.308395273</v>
      </c>
      <c r="G304" s="85">
        <f>SUM(D$224:D304)-OneTime_P/10^7</f>
        <v>77.28638643</v>
      </c>
      <c r="H304" s="85">
        <f>SUM(E$224:E304)-OneTime_P/10^7</f>
        <v>-227.7089986</v>
      </c>
      <c r="I304" s="85">
        <f>SUM(F$224:F304)-OneTime_P/10^7</f>
        <v>-532.7043837</v>
      </c>
      <c r="J304" s="85">
        <f>G304+$C304*RTO_Avoid_Sale/100</f>
        <v>3737.231007</v>
      </c>
      <c r="K304" s="85">
        <f>H304+$C304*RTO_Avoid_Sale/100</f>
        <v>3432.235622</v>
      </c>
      <c r="L304" s="85">
        <f>I304+$C304*RTO_Avoid_Sale/100</f>
        <v>3127.240237</v>
      </c>
    </row>
    <row r="305">
      <c r="A305" s="84">
        <v>82.0</v>
      </c>
      <c r="B305" s="17">
        <f>IF(A305&lt;=12,ST_M1+(ST_M12-ST_M1)*(A305-1)/11,IF(A305&lt;=36,ST_M12+(ST_M36-ST_M12)*(A305-12)/24,ST_M36))</f>
        <v>0.375</v>
      </c>
      <c r="C305" s="81">
        <f>Routed_M_P*SUM(B$224:B305)/10^5</f>
        <v>3095.049275</v>
      </c>
      <c r="D305" s="85">
        <f>(Routed_M_P*($B305*Prof1-(1-$B305)*Rent_Unsold)-Maint_P)/10^7</f>
        <v>1.710689548</v>
      </c>
      <c r="E305" s="85">
        <f>(Routed_M_P*($B305*Prof2-(1-$B305)*Rent_Unsold)-Maint_P)/10^7</f>
        <v>-2.798852863</v>
      </c>
      <c r="F305" s="85">
        <f>(Routed_M_P*($B305*Prof3-(1-$B305)*Rent_Unsold)-Maint_P)/10^7</f>
        <v>-7.308395273</v>
      </c>
      <c r="G305" s="85">
        <f>SUM(D$224:D305)-OneTime_P/10^7</f>
        <v>78.99707598</v>
      </c>
      <c r="H305" s="85">
        <f>SUM(E$224:E305)-OneTime_P/10^7</f>
        <v>-230.5078515</v>
      </c>
      <c r="I305" s="85">
        <f>SUM(F$224:F305)-OneTime_P/10^7</f>
        <v>-540.0127789</v>
      </c>
      <c r="J305" s="85">
        <f>G305+$C305*RTO_Avoid_Sale/100</f>
        <v>3793.056205</v>
      </c>
      <c r="K305" s="85">
        <f>H305+$C305*RTO_Avoid_Sale/100</f>
        <v>3483.551278</v>
      </c>
      <c r="L305" s="85">
        <f>I305+$C305*RTO_Avoid_Sale/100</f>
        <v>3174.046351</v>
      </c>
    </row>
    <row r="306">
      <c r="A306" s="84">
        <v>83.0</v>
      </c>
      <c r="B306" s="17">
        <f>IF(A306&lt;=12,ST_M1+(ST_M12-ST_M1)*(A306-1)/11,IF(A306&lt;=36,ST_M12+(ST_M36-ST_M12)*(A306-12)/24,ST_M36))</f>
        <v>0.375</v>
      </c>
      <c r="C306" s="81">
        <f>Routed_M_P*SUM(B$224:B306)/10^5</f>
        <v>3140.144699</v>
      </c>
      <c r="D306" s="85">
        <f>(Routed_M_P*($B306*Prof1-(1-$B306)*Rent_Unsold)-Maint_P)/10^7</f>
        <v>1.710689548</v>
      </c>
      <c r="E306" s="85">
        <f>(Routed_M_P*($B306*Prof2-(1-$B306)*Rent_Unsold)-Maint_P)/10^7</f>
        <v>-2.798852863</v>
      </c>
      <c r="F306" s="85">
        <f>(Routed_M_P*($B306*Prof3-(1-$B306)*Rent_Unsold)-Maint_P)/10^7</f>
        <v>-7.308395273</v>
      </c>
      <c r="G306" s="85">
        <f>SUM(D$224:D306)-OneTime_P/10^7</f>
        <v>80.70776553</v>
      </c>
      <c r="H306" s="85">
        <f>SUM(E$224:E306)-OneTime_P/10^7</f>
        <v>-233.3067043</v>
      </c>
      <c r="I306" s="85">
        <f>SUM(F$224:F306)-OneTime_P/10^7</f>
        <v>-547.3211742</v>
      </c>
      <c r="J306" s="85">
        <f>G306+$C306*RTO_Avoid_Sale/100</f>
        <v>3848.881404</v>
      </c>
      <c r="K306" s="85">
        <f>H306+$C306*RTO_Avoid_Sale/100</f>
        <v>3534.866934</v>
      </c>
      <c r="L306" s="85">
        <f>I306+$C306*RTO_Avoid_Sale/100</f>
        <v>3220.852464</v>
      </c>
    </row>
    <row r="307">
      <c r="A307" s="84">
        <v>84.0</v>
      </c>
      <c r="B307" s="17">
        <f>IF(A307&lt;=12,ST_M1+(ST_M12-ST_M1)*(A307-1)/11,IF(A307&lt;=36,ST_M12+(ST_M36-ST_M12)*(A307-12)/24,ST_M36))</f>
        <v>0.375</v>
      </c>
      <c r="C307" s="81">
        <f>Routed_M_P*SUM(B$224:B307)/10^5</f>
        <v>3185.240123</v>
      </c>
      <c r="D307" s="85">
        <f>(Routed_M_P*($B307*Prof1-(1-$B307)*Rent_Unsold)-Maint_P)/10^7</f>
        <v>1.710689548</v>
      </c>
      <c r="E307" s="85">
        <f>(Routed_M_P*($B307*Prof2-(1-$B307)*Rent_Unsold)-Maint_P)/10^7</f>
        <v>-2.798852863</v>
      </c>
      <c r="F307" s="85">
        <f>(Routed_M_P*($B307*Prof3-(1-$B307)*Rent_Unsold)-Maint_P)/10^7</f>
        <v>-7.308395273</v>
      </c>
      <c r="G307" s="85">
        <f>SUM(D$224:D307)-OneTime_P/10^7</f>
        <v>82.41845507</v>
      </c>
      <c r="H307" s="85">
        <f>SUM(E$224:E307)-OneTime_P/10^7</f>
        <v>-236.1055572</v>
      </c>
      <c r="I307" s="85">
        <f>SUM(F$224:F307)-OneTime_P/10^7</f>
        <v>-554.6295695</v>
      </c>
      <c r="J307" s="85">
        <f>G307+$C307*RTO_Avoid_Sale/100</f>
        <v>3904.706602</v>
      </c>
      <c r="K307" s="85">
        <f>H307+$C307*RTO_Avoid_Sale/100</f>
        <v>3586.18259</v>
      </c>
      <c r="L307" s="85">
        <f>I307+$C307*RTO_Avoid_Sale/100</f>
        <v>3267.658578</v>
      </c>
    </row>
    <row r="308">
      <c r="A308" s="84">
        <v>85.0</v>
      </c>
      <c r="B308" s="17">
        <f>IF(A308&lt;=12,ST_M1+(ST_M12-ST_M1)*(A308-1)/11,IF(A308&lt;=36,ST_M12+(ST_M36-ST_M12)*(A308-12)/24,ST_M36))</f>
        <v>0.375</v>
      </c>
      <c r="C308" s="81">
        <f>Routed_M_P*SUM(B$224:B308)/10^5</f>
        <v>3230.335547</v>
      </c>
      <c r="D308" s="85">
        <f>(Routed_M_P*($B308*Prof1-(1-$B308)*Rent_Unsold)-Maint_P)/10^7</f>
        <v>1.710689548</v>
      </c>
      <c r="E308" s="85">
        <f>(Routed_M_P*($B308*Prof2-(1-$B308)*Rent_Unsold)-Maint_P)/10^7</f>
        <v>-2.798852863</v>
      </c>
      <c r="F308" s="85">
        <f>(Routed_M_P*($B308*Prof3-(1-$B308)*Rent_Unsold)-Maint_P)/10^7</f>
        <v>-7.308395273</v>
      </c>
      <c r="G308" s="85">
        <f>SUM(D$224:D308)-OneTime_P/10^7</f>
        <v>84.12914462</v>
      </c>
      <c r="H308" s="85">
        <f>SUM(E$224:E308)-OneTime_P/10^7</f>
        <v>-238.9044101</v>
      </c>
      <c r="I308" s="85">
        <f>SUM(F$224:F308)-OneTime_P/10^7</f>
        <v>-561.9379648</v>
      </c>
      <c r="J308" s="85">
        <f>G308+$C308*RTO_Avoid_Sale/100</f>
        <v>3960.531801</v>
      </c>
      <c r="K308" s="85">
        <f>H308+$C308*RTO_Avoid_Sale/100</f>
        <v>3637.498246</v>
      </c>
      <c r="L308" s="85">
        <f>I308+$C308*RTO_Avoid_Sale/100</f>
        <v>3314.464691</v>
      </c>
    </row>
    <row r="309">
      <c r="A309" s="84">
        <v>86.0</v>
      </c>
      <c r="B309" s="17">
        <f>IF(A309&lt;=12,ST_M1+(ST_M12-ST_M1)*(A309-1)/11,IF(A309&lt;=36,ST_M12+(ST_M36-ST_M12)*(A309-12)/24,ST_M36))</f>
        <v>0.375</v>
      </c>
      <c r="C309" s="81">
        <f>Routed_M_P*SUM(B$224:B309)/10^5</f>
        <v>3275.430971</v>
      </c>
      <c r="D309" s="85">
        <f>(Routed_M_P*($B309*Prof1-(1-$B309)*Rent_Unsold)-Maint_P)/10^7</f>
        <v>1.710689548</v>
      </c>
      <c r="E309" s="85">
        <f>(Routed_M_P*($B309*Prof2-(1-$B309)*Rent_Unsold)-Maint_P)/10^7</f>
        <v>-2.798852863</v>
      </c>
      <c r="F309" s="85">
        <f>(Routed_M_P*($B309*Prof3-(1-$B309)*Rent_Unsold)-Maint_P)/10^7</f>
        <v>-7.308395273</v>
      </c>
      <c r="G309" s="85">
        <f>SUM(D$224:D309)-OneTime_P/10^7</f>
        <v>85.83983417</v>
      </c>
      <c r="H309" s="85">
        <f>SUM(E$224:E309)-OneTime_P/10^7</f>
        <v>-241.7032629</v>
      </c>
      <c r="I309" s="85">
        <f>SUM(F$224:F309)-OneTime_P/10^7</f>
        <v>-569.24636</v>
      </c>
      <c r="J309" s="85">
        <f>G309+$C309*RTO_Avoid_Sale/100</f>
        <v>4016.356999</v>
      </c>
      <c r="K309" s="85">
        <f>H309+$C309*RTO_Avoid_Sale/100</f>
        <v>3688.813902</v>
      </c>
      <c r="L309" s="85">
        <f>I309+$C309*RTO_Avoid_Sale/100</f>
        <v>3361.270805</v>
      </c>
    </row>
    <row r="310">
      <c r="A310" s="84">
        <v>87.0</v>
      </c>
      <c r="B310" s="17">
        <f>IF(A310&lt;=12,ST_M1+(ST_M12-ST_M1)*(A310-1)/11,IF(A310&lt;=36,ST_M12+(ST_M36-ST_M12)*(A310-12)/24,ST_M36))</f>
        <v>0.375</v>
      </c>
      <c r="C310" s="81">
        <f>Routed_M_P*SUM(B$224:B310)/10^5</f>
        <v>3320.526395</v>
      </c>
      <c r="D310" s="85">
        <f>(Routed_M_P*($B310*Prof1-(1-$B310)*Rent_Unsold)-Maint_P)/10^7</f>
        <v>1.710689548</v>
      </c>
      <c r="E310" s="85">
        <f>(Routed_M_P*($B310*Prof2-(1-$B310)*Rent_Unsold)-Maint_P)/10^7</f>
        <v>-2.798852863</v>
      </c>
      <c r="F310" s="85">
        <f>(Routed_M_P*($B310*Prof3-(1-$B310)*Rent_Unsold)-Maint_P)/10^7</f>
        <v>-7.308395273</v>
      </c>
      <c r="G310" s="85">
        <f>SUM(D$224:D310)-OneTime_P/10^7</f>
        <v>87.55052372</v>
      </c>
      <c r="H310" s="85">
        <f>SUM(E$224:E310)-OneTime_P/10^7</f>
        <v>-244.5021158</v>
      </c>
      <c r="I310" s="85">
        <f>SUM(F$224:F310)-OneTime_P/10^7</f>
        <v>-576.5547553</v>
      </c>
      <c r="J310" s="85">
        <f>G310+$C310*RTO_Avoid_Sale/100</f>
        <v>4072.182198</v>
      </c>
      <c r="K310" s="85">
        <f>H310+$C310*RTO_Avoid_Sale/100</f>
        <v>3740.129558</v>
      </c>
      <c r="L310" s="85">
        <f>I310+$C310*RTO_Avoid_Sale/100</f>
        <v>3408.076919</v>
      </c>
    </row>
    <row r="311">
      <c r="A311" s="84">
        <v>88.0</v>
      </c>
      <c r="B311" s="17">
        <f>IF(A311&lt;=12,ST_M1+(ST_M12-ST_M1)*(A311-1)/11,IF(A311&lt;=36,ST_M12+(ST_M36-ST_M12)*(A311-12)/24,ST_M36))</f>
        <v>0.375</v>
      </c>
      <c r="C311" s="81">
        <f>Routed_M_P*SUM(B$224:B311)/10^5</f>
        <v>3365.621819</v>
      </c>
      <c r="D311" s="85">
        <f>(Routed_M_P*($B311*Prof1-(1-$B311)*Rent_Unsold)-Maint_P)/10^7</f>
        <v>1.710689548</v>
      </c>
      <c r="E311" s="85">
        <f>(Routed_M_P*($B311*Prof2-(1-$B311)*Rent_Unsold)-Maint_P)/10^7</f>
        <v>-2.798852863</v>
      </c>
      <c r="F311" s="85">
        <f>(Routed_M_P*($B311*Prof3-(1-$B311)*Rent_Unsold)-Maint_P)/10^7</f>
        <v>-7.308395273</v>
      </c>
      <c r="G311" s="85">
        <f>SUM(D$224:D311)-OneTime_P/10^7</f>
        <v>89.26121327</v>
      </c>
      <c r="H311" s="85">
        <f>SUM(E$224:E311)-OneTime_P/10^7</f>
        <v>-247.3009687</v>
      </c>
      <c r="I311" s="85">
        <f>SUM(F$224:F311)-OneTime_P/10^7</f>
        <v>-583.8631506</v>
      </c>
      <c r="J311" s="85">
        <f>G311+$C311*RTO_Avoid_Sale/100</f>
        <v>4128.007396</v>
      </c>
      <c r="K311" s="85">
        <f>H311+$C311*RTO_Avoid_Sale/100</f>
        <v>3791.445214</v>
      </c>
      <c r="L311" s="85">
        <f>I311+$C311*RTO_Avoid_Sale/100</f>
        <v>3454.883032</v>
      </c>
    </row>
    <row r="312">
      <c r="A312" s="84">
        <v>89.0</v>
      </c>
      <c r="B312" s="17">
        <f>IF(A312&lt;=12,ST_M1+(ST_M12-ST_M1)*(A312-1)/11,IF(A312&lt;=36,ST_M12+(ST_M36-ST_M12)*(A312-12)/24,ST_M36))</f>
        <v>0.375</v>
      </c>
      <c r="C312" s="81">
        <f>Routed_M_P*SUM(B$224:B312)/10^5</f>
        <v>3410.717243</v>
      </c>
      <c r="D312" s="85">
        <f>(Routed_M_P*($B312*Prof1-(1-$B312)*Rent_Unsold)-Maint_P)/10^7</f>
        <v>1.710689548</v>
      </c>
      <c r="E312" s="85">
        <f>(Routed_M_P*($B312*Prof2-(1-$B312)*Rent_Unsold)-Maint_P)/10^7</f>
        <v>-2.798852863</v>
      </c>
      <c r="F312" s="85">
        <f>(Routed_M_P*($B312*Prof3-(1-$B312)*Rent_Unsold)-Maint_P)/10^7</f>
        <v>-7.308395273</v>
      </c>
      <c r="G312" s="85">
        <f>SUM(D$224:D312)-OneTime_P/10^7</f>
        <v>90.97190281</v>
      </c>
      <c r="H312" s="85">
        <f>SUM(E$224:E312)-OneTime_P/10^7</f>
        <v>-250.0998215</v>
      </c>
      <c r="I312" s="85">
        <f>SUM(F$224:F312)-OneTime_P/10^7</f>
        <v>-591.1715458</v>
      </c>
      <c r="J312" s="85">
        <f>G312+$C312*RTO_Avoid_Sale/100</f>
        <v>4183.832595</v>
      </c>
      <c r="K312" s="85">
        <f>H312+$C312*RTO_Avoid_Sale/100</f>
        <v>3842.76087</v>
      </c>
      <c r="L312" s="85">
        <f>I312+$C312*RTO_Avoid_Sale/100</f>
        <v>3501.689146</v>
      </c>
    </row>
    <row r="313">
      <c r="A313" s="84">
        <v>90.0</v>
      </c>
      <c r="B313" s="17">
        <f>IF(A313&lt;=12,ST_M1+(ST_M12-ST_M1)*(A313-1)/11,IF(A313&lt;=36,ST_M12+(ST_M36-ST_M12)*(A313-12)/24,ST_M36))</f>
        <v>0.375</v>
      </c>
      <c r="C313" s="81">
        <f>Routed_M_P*SUM(B$224:B313)/10^5</f>
        <v>3455.812667</v>
      </c>
      <c r="D313" s="85">
        <f>(Routed_M_P*($B313*Prof1-(1-$B313)*Rent_Unsold)-Maint_P)/10^7</f>
        <v>1.710689548</v>
      </c>
      <c r="E313" s="85">
        <f>(Routed_M_P*($B313*Prof2-(1-$B313)*Rent_Unsold)-Maint_P)/10^7</f>
        <v>-2.798852863</v>
      </c>
      <c r="F313" s="85">
        <f>(Routed_M_P*($B313*Prof3-(1-$B313)*Rent_Unsold)-Maint_P)/10^7</f>
        <v>-7.308395273</v>
      </c>
      <c r="G313" s="85">
        <f>SUM(D$224:D313)-OneTime_P/10^7</f>
        <v>92.68259236</v>
      </c>
      <c r="H313" s="85">
        <f>SUM(E$224:E313)-OneTime_P/10^7</f>
        <v>-252.8986744</v>
      </c>
      <c r="I313" s="85">
        <f>SUM(F$224:F313)-OneTime_P/10^7</f>
        <v>-598.4799411</v>
      </c>
      <c r="J313" s="85">
        <f>G313+$C313*RTO_Avoid_Sale/100</f>
        <v>4239.657793</v>
      </c>
      <c r="K313" s="85">
        <f>H313+$C313*RTO_Avoid_Sale/100</f>
        <v>3894.076527</v>
      </c>
      <c r="L313" s="85">
        <f>I313+$C313*RTO_Avoid_Sale/100</f>
        <v>3548.49526</v>
      </c>
    </row>
    <row r="314">
      <c r="A314" s="84">
        <v>91.0</v>
      </c>
      <c r="B314" s="17">
        <f>IF(A314&lt;=12,ST_M1+(ST_M12-ST_M1)*(A314-1)/11,IF(A314&lt;=36,ST_M12+(ST_M36-ST_M12)*(A314-12)/24,ST_M36))</f>
        <v>0.375</v>
      </c>
      <c r="C314" s="81">
        <f>Routed_M_P*SUM(B$224:B314)/10^5</f>
        <v>3500.908092</v>
      </c>
      <c r="D314" s="85">
        <f>(Routed_M_P*($B314*Prof1-(1-$B314)*Rent_Unsold)-Maint_P)/10^7</f>
        <v>1.710689548</v>
      </c>
      <c r="E314" s="85">
        <f>(Routed_M_P*($B314*Prof2-(1-$B314)*Rent_Unsold)-Maint_P)/10^7</f>
        <v>-2.798852863</v>
      </c>
      <c r="F314" s="85">
        <f>(Routed_M_P*($B314*Prof3-(1-$B314)*Rent_Unsold)-Maint_P)/10^7</f>
        <v>-7.308395273</v>
      </c>
      <c r="G314" s="85">
        <f>SUM(D$224:D314)-OneTime_P/10^7</f>
        <v>94.39328191</v>
      </c>
      <c r="H314" s="85">
        <f>SUM(E$224:E314)-OneTime_P/10^7</f>
        <v>-255.6975272</v>
      </c>
      <c r="I314" s="85">
        <f>SUM(F$224:F314)-OneTime_P/10^7</f>
        <v>-605.7883364</v>
      </c>
      <c r="J314" s="85">
        <f>G314+$C314*RTO_Avoid_Sale/100</f>
        <v>4295.482992</v>
      </c>
      <c r="K314" s="85">
        <f>H314+$C314*RTO_Avoid_Sale/100</f>
        <v>3945.392183</v>
      </c>
      <c r="L314" s="85">
        <f>I314+$C314*RTO_Avoid_Sale/100</f>
        <v>3595.301373</v>
      </c>
    </row>
    <row r="315">
      <c r="A315" s="84">
        <v>92.0</v>
      </c>
      <c r="B315" s="17">
        <f>IF(A315&lt;=12,ST_M1+(ST_M12-ST_M1)*(A315-1)/11,IF(A315&lt;=36,ST_M12+(ST_M36-ST_M12)*(A315-12)/24,ST_M36))</f>
        <v>0.375</v>
      </c>
      <c r="C315" s="81">
        <f>Routed_M_P*SUM(B$224:B315)/10^5</f>
        <v>3546.003516</v>
      </c>
      <c r="D315" s="85">
        <f>(Routed_M_P*($B315*Prof1-(1-$B315)*Rent_Unsold)-Maint_P)/10^7</f>
        <v>1.710689548</v>
      </c>
      <c r="E315" s="85">
        <f>(Routed_M_P*($B315*Prof2-(1-$B315)*Rent_Unsold)-Maint_P)/10^7</f>
        <v>-2.798852863</v>
      </c>
      <c r="F315" s="85">
        <f>(Routed_M_P*($B315*Prof3-(1-$B315)*Rent_Unsold)-Maint_P)/10^7</f>
        <v>-7.308395273</v>
      </c>
      <c r="G315" s="85">
        <f>SUM(D$224:D315)-OneTime_P/10^7</f>
        <v>96.10397146</v>
      </c>
      <c r="H315" s="85">
        <f>SUM(E$224:E315)-OneTime_P/10^7</f>
        <v>-258.4963801</v>
      </c>
      <c r="I315" s="85">
        <f>SUM(F$224:F315)-OneTime_P/10^7</f>
        <v>-613.0967317</v>
      </c>
      <c r="J315" s="85">
        <f>G315+$C315*RTO_Avoid_Sale/100</f>
        <v>4351.30819</v>
      </c>
      <c r="K315" s="85">
        <f>H315+$C315*RTO_Avoid_Sale/100</f>
        <v>3996.707839</v>
      </c>
      <c r="L315" s="85">
        <f>I315+$C315*RTO_Avoid_Sale/100</f>
        <v>3642.107487</v>
      </c>
    </row>
    <row r="316">
      <c r="A316" s="84">
        <v>93.0</v>
      </c>
      <c r="B316" s="17">
        <f>IF(A316&lt;=12,ST_M1+(ST_M12-ST_M1)*(A316-1)/11,IF(A316&lt;=36,ST_M12+(ST_M36-ST_M12)*(A316-12)/24,ST_M36))</f>
        <v>0.375</v>
      </c>
      <c r="C316" s="81">
        <f>Routed_M_P*SUM(B$224:B316)/10^5</f>
        <v>3591.09894</v>
      </c>
      <c r="D316" s="85">
        <f>(Routed_M_P*($B316*Prof1-(1-$B316)*Rent_Unsold)-Maint_P)/10^7</f>
        <v>1.710689548</v>
      </c>
      <c r="E316" s="85">
        <f>(Routed_M_P*($B316*Prof2-(1-$B316)*Rent_Unsold)-Maint_P)/10^7</f>
        <v>-2.798852863</v>
      </c>
      <c r="F316" s="85">
        <f>(Routed_M_P*($B316*Prof3-(1-$B316)*Rent_Unsold)-Maint_P)/10^7</f>
        <v>-7.308395273</v>
      </c>
      <c r="G316" s="85">
        <f>SUM(D$224:D316)-OneTime_P/10^7</f>
        <v>97.81466101</v>
      </c>
      <c r="H316" s="85">
        <f>SUM(E$224:E316)-OneTime_P/10^7</f>
        <v>-261.295233</v>
      </c>
      <c r="I316" s="85">
        <f>SUM(F$224:F316)-OneTime_P/10^7</f>
        <v>-620.4051269</v>
      </c>
      <c r="J316" s="85">
        <f>G316+$C316*RTO_Avoid_Sale/100</f>
        <v>4407.133389</v>
      </c>
      <c r="K316" s="85">
        <f>H316+$C316*RTO_Avoid_Sale/100</f>
        <v>4048.023495</v>
      </c>
      <c r="L316" s="85">
        <f>I316+$C316*RTO_Avoid_Sale/100</f>
        <v>3688.913601</v>
      </c>
    </row>
    <row r="317">
      <c r="A317" s="84">
        <v>94.0</v>
      </c>
      <c r="B317" s="17">
        <f>IF(A317&lt;=12,ST_M1+(ST_M12-ST_M1)*(A317-1)/11,IF(A317&lt;=36,ST_M12+(ST_M36-ST_M12)*(A317-12)/24,ST_M36))</f>
        <v>0.375</v>
      </c>
      <c r="C317" s="81">
        <f>Routed_M_P*SUM(B$224:B317)/10^5</f>
        <v>3636.194364</v>
      </c>
      <c r="D317" s="85">
        <f>(Routed_M_P*($B317*Prof1-(1-$B317)*Rent_Unsold)-Maint_P)/10^7</f>
        <v>1.710689548</v>
      </c>
      <c r="E317" s="85">
        <f>(Routed_M_P*($B317*Prof2-(1-$B317)*Rent_Unsold)-Maint_P)/10^7</f>
        <v>-2.798852863</v>
      </c>
      <c r="F317" s="85">
        <f>(Routed_M_P*($B317*Prof3-(1-$B317)*Rent_Unsold)-Maint_P)/10^7</f>
        <v>-7.308395273</v>
      </c>
      <c r="G317" s="85">
        <f>SUM(D$224:D317)-OneTime_P/10^7</f>
        <v>99.52535055</v>
      </c>
      <c r="H317" s="85">
        <f>SUM(E$224:E317)-OneTime_P/10^7</f>
        <v>-264.0940858</v>
      </c>
      <c r="I317" s="85">
        <f>SUM(F$224:F317)-OneTime_P/10^7</f>
        <v>-627.7135222</v>
      </c>
      <c r="J317" s="85">
        <f>G317+$C317*RTO_Avoid_Sale/100</f>
        <v>4462.958587</v>
      </c>
      <c r="K317" s="85">
        <f>H317+$C317*RTO_Avoid_Sale/100</f>
        <v>4099.339151</v>
      </c>
      <c r="L317" s="85">
        <f>I317+$C317*RTO_Avoid_Sale/100</f>
        <v>3735.719714</v>
      </c>
    </row>
    <row r="318">
      <c r="A318" s="84">
        <v>95.0</v>
      </c>
      <c r="B318" s="17">
        <f>IF(A318&lt;=12,ST_M1+(ST_M12-ST_M1)*(A318-1)/11,IF(A318&lt;=36,ST_M12+(ST_M36-ST_M12)*(A318-12)/24,ST_M36))</f>
        <v>0.375</v>
      </c>
      <c r="C318" s="81">
        <f>Routed_M_P*SUM(B$224:B318)/10^5</f>
        <v>3681.289788</v>
      </c>
      <c r="D318" s="85">
        <f>(Routed_M_P*($B318*Prof1-(1-$B318)*Rent_Unsold)-Maint_P)/10^7</f>
        <v>1.710689548</v>
      </c>
      <c r="E318" s="85">
        <f>(Routed_M_P*($B318*Prof2-(1-$B318)*Rent_Unsold)-Maint_P)/10^7</f>
        <v>-2.798852863</v>
      </c>
      <c r="F318" s="85">
        <f>(Routed_M_P*($B318*Prof3-(1-$B318)*Rent_Unsold)-Maint_P)/10^7</f>
        <v>-7.308395273</v>
      </c>
      <c r="G318" s="85">
        <f>SUM(D$224:D318)-OneTime_P/10^7</f>
        <v>101.2360401</v>
      </c>
      <c r="H318" s="85">
        <f>SUM(E$224:E318)-OneTime_P/10^7</f>
        <v>-266.8929387</v>
      </c>
      <c r="I318" s="85">
        <f>SUM(F$224:F318)-OneTime_P/10^7</f>
        <v>-635.0219175</v>
      </c>
      <c r="J318" s="85">
        <f>G318+$C318*RTO_Avoid_Sale/100</f>
        <v>4518.783786</v>
      </c>
      <c r="K318" s="85">
        <f>H318+$C318*RTO_Avoid_Sale/100</f>
        <v>4150.654807</v>
      </c>
      <c r="L318" s="85">
        <f>I318+$C318*RTO_Avoid_Sale/100</f>
        <v>3782.525828</v>
      </c>
    </row>
    <row r="319">
      <c r="A319" s="84">
        <v>96.0</v>
      </c>
      <c r="B319" s="17">
        <f>IF(A319&lt;=12,ST_M1+(ST_M12-ST_M1)*(A319-1)/11,IF(A319&lt;=36,ST_M12+(ST_M36-ST_M12)*(A319-12)/24,ST_M36))</f>
        <v>0.375</v>
      </c>
      <c r="C319" s="81">
        <f>Routed_M_P*SUM(B$224:B319)/10^5</f>
        <v>3726.385212</v>
      </c>
      <c r="D319" s="85">
        <f>(Routed_M_P*($B319*Prof1-(1-$B319)*Rent_Unsold)-Maint_P)/10^7</f>
        <v>1.710689548</v>
      </c>
      <c r="E319" s="85">
        <f>(Routed_M_P*($B319*Prof2-(1-$B319)*Rent_Unsold)-Maint_P)/10^7</f>
        <v>-2.798852863</v>
      </c>
      <c r="F319" s="85">
        <f>(Routed_M_P*($B319*Prof3-(1-$B319)*Rent_Unsold)-Maint_P)/10^7</f>
        <v>-7.308395273</v>
      </c>
      <c r="G319" s="85">
        <f>SUM(D$224:D319)-OneTime_P/10^7</f>
        <v>102.9467296</v>
      </c>
      <c r="H319" s="85">
        <f>SUM(E$224:E319)-OneTime_P/10^7</f>
        <v>-269.6917916</v>
      </c>
      <c r="I319" s="85">
        <f>SUM(F$224:F319)-OneTime_P/10^7</f>
        <v>-642.3303128</v>
      </c>
      <c r="J319" s="85">
        <f>G319+$C319*RTO_Avoid_Sale/100</f>
        <v>4574.608984</v>
      </c>
      <c r="K319" s="85">
        <f>H319+$C319*RTO_Avoid_Sale/100</f>
        <v>4201.970463</v>
      </c>
      <c r="L319" s="85">
        <f>I319+$C319*RTO_Avoid_Sale/100</f>
        <v>3829.331942</v>
      </c>
    </row>
    <row r="320">
      <c r="A320" s="84">
        <v>97.0</v>
      </c>
      <c r="B320" s="17">
        <f>IF(A320&lt;=12,ST_M1+(ST_M12-ST_M1)*(A320-1)/11,IF(A320&lt;=36,ST_M12+(ST_M36-ST_M12)*(A320-12)/24,ST_M36))</f>
        <v>0.375</v>
      </c>
      <c r="C320" s="81">
        <f>Routed_M_P*SUM(B$224:B320)/10^5</f>
        <v>3771.480636</v>
      </c>
      <c r="D320" s="85">
        <f>(Routed_M_P*($B320*Prof1-(1-$B320)*Rent_Unsold)-Maint_P)/10^7</f>
        <v>1.710689548</v>
      </c>
      <c r="E320" s="85">
        <f>(Routed_M_P*($B320*Prof2-(1-$B320)*Rent_Unsold)-Maint_P)/10^7</f>
        <v>-2.798852863</v>
      </c>
      <c r="F320" s="85">
        <f>(Routed_M_P*($B320*Prof3-(1-$B320)*Rent_Unsold)-Maint_P)/10^7</f>
        <v>-7.308395273</v>
      </c>
      <c r="G320" s="85">
        <f>SUM(D$224:D320)-OneTime_P/10^7</f>
        <v>104.6574192</v>
      </c>
      <c r="H320" s="85">
        <f>SUM(E$224:E320)-OneTime_P/10^7</f>
        <v>-272.4906444</v>
      </c>
      <c r="I320" s="85">
        <f>SUM(F$224:F320)-OneTime_P/10^7</f>
        <v>-649.638708</v>
      </c>
      <c r="J320" s="85">
        <f>G320+$C320*RTO_Avoid_Sale/100</f>
        <v>4630.434183</v>
      </c>
      <c r="K320" s="85">
        <f>H320+$C320*RTO_Avoid_Sale/100</f>
        <v>4253.286119</v>
      </c>
      <c r="L320" s="85">
        <f>I320+$C320*RTO_Avoid_Sale/100</f>
        <v>3876.138055</v>
      </c>
    </row>
    <row r="321">
      <c r="A321" s="84">
        <v>98.0</v>
      </c>
      <c r="B321" s="17">
        <f>IF(A321&lt;=12,ST_M1+(ST_M12-ST_M1)*(A321-1)/11,IF(A321&lt;=36,ST_M12+(ST_M36-ST_M12)*(A321-12)/24,ST_M36))</f>
        <v>0.375</v>
      </c>
      <c r="C321" s="81">
        <f>Routed_M_P*SUM(B$224:B321)/10^5</f>
        <v>3816.57606</v>
      </c>
      <c r="D321" s="85">
        <f>(Routed_M_P*($B321*Prof1-(1-$B321)*Rent_Unsold)-Maint_P)/10^7</f>
        <v>1.710689548</v>
      </c>
      <c r="E321" s="85">
        <f>(Routed_M_P*($B321*Prof2-(1-$B321)*Rent_Unsold)-Maint_P)/10^7</f>
        <v>-2.798852863</v>
      </c>
      <c r="F321" s="85">
        <f>(Routed_M_P*($B321*Prof3-(1-$B321)*Rent_Unsold)-Maint_P)/10^7</f>
        <v>-7.308395273</v>
      </c>
      <c r="G321" s="85">
        <f>SUM(D$224:D321)-OneTime_P/10^7</f>
        <v>106.3681087</v>
      </c>
      <c r="H321" s="85">
        <f>SUM(E$224:E321)-OneTime_P/10^7</f>
        <v>-275.2894973</v>
      </c>
      <c r="I321" s="85">
        <f>SUM(F$224:F321)-OneTime_P/10^7</f>
        <v>-656.9471033</v>
      </c>
      <c r="J321" s="85">
        <f>G321+$C321*RTO_Avoid_Sale/100</f>
        <v>4686.259381</v>
      </c>
      <c r="K321" s="85">
        <f>H321+$C321*RTO_Avoid_Sale/100</f>
        <v>4304.601775</v>
      </c>
      <c r="L321" s="85">
        <f>I321+$C321*RTO_Avoid_Sale/100</f>
        <v>3922.944169</v>
      </c>
    </row>
    <row r="322">
      <c r="A322" s="84">
        <v>99.0</v>
      </c>
      <c r="B322" s="17">
        <f>IF(A322&lt;=12,ST_M1+(ST_M12-ST_M1)*(A322-1)/11,IF(A322&lt;=36,ST_M12+(ST_M36-ST_M12)*(A322-12)/24,ST_M36))</f>
        <v>0.375</v>
      </c>
      <c r="C322" s="81">
        <f>Routed_M_P*SUM(B$224:B322)/10^5</f>
        <v>3861.671484</v>
      </c>
      <c r="D322" s="85">
        <f>(Routed_M_P*($B322*Prof1-(1-$B322)*Rent_Unsold)-Maint_P)/10^7</f>
        <v>1.710689548</v>
      </c>
      <c r="E322" s="85">
        <f>(Routed_M_P*($B322*Prof2-(1-$B322)*Rent_Unsold)-Maint_P)/10^7</f>
        <v>-2.798852863</v>
      </c>
      <c r="F322" s="85">
        <f>(Routed_M_P*($B322*Prof3-(1-$B322)*Rent_Unsold)-Maint_P)/10^7</f>
        <v>-7.308395273</v>
      </c>
      <c r="G322" s="85">
        <f>SUM(D$224:D322)-OneTime_P/10^7</f>
        <v>108.0787983</v>
      </c>
      <c r="H322" s="85">
        <f>SUM(E$224:E322)-OneTime_P/10^7</f>
        <v>-278.0883501</v>
      </c>
      <c r="I322" s="85">
        <f>SUM(F$224:F322)-OneTime_P/10^7</f>
        <v>-664.2554986</v>
      </c>
      <c r="J322" s="85">
        <f>G322+$C322*RTO_Avoid_Sale/100</f>
        <v>4742.08458</v>
      </c>
      <c r="K322" s="85">
        <f>H322+$C322*RTO_Avoid_Sale/100</f>
        <v>4355.917431</v>
      </c>
      <c r="L322" s="85">
        <f>I322+$C322*RTO_Avoid_Sale/100</f>
        <v>3969.750283</v>
      </c>
    </row>
    <row r="323">
      <c r="A323" s="84">
        <v>100.0</v>
      </c>
      <c r="B323" s="17">
        <f>IF(A323&lt;=12,ST_M1+(ST_M12-ST_M1)*(A323-1)/11,IF(A323&lt;=36,ST_M12+(ST_M36-ST_M12)*(A323-12)/24,ST_M36))</f>
        <v>0.375</v>
      </c>
      <c r="C323" s="81">
        <f>Routed_M_P*SUM(B$224:B323)/10^5</f>
        <v>3906.766908</v>
      </c>
      <c r="D323" s="85">
        <f>(Routed_M_P*($B323*Prof1-(1-$B323)*Rent_Unsold)-Maint_P)/10^7</f>
        <v>1.710689548</v>
      </c>
      <c r="E323" s="85">
        <f>(Routed_M_P*($B323*Prof2-(1-$B323)*Rent_Unsold)-Maint_P)/10^7</f>
        <v>-2.798852863</v>
      </c>
      <c r="F323" s="85">
        <f>(Routed_M_P*($B323*Prof3-(1-$B323)*Rent_Unsold)-Maint_P)/10^7</f>
        <v>-7.308395273</v>
      </c>
      <c r="G323" s="85">
        <f>SUM(D$224:D323)-OneTime_P/10^7</f>
        <v>109.7894878</v>
      </c>
      <c r="H323" s="85">
        <f>SUM(E$224:E323)-OneTime_P/10^7</f>
        <v>-280.887203</v>
      </c>
      <c r="I323" s="85">
        <f>SUM(F$224:F323)-OneTime_P/10^7</f>
        <v>-671.5638939</v>
      </c>
      <c r="J323" s="85">
        <f>G323+$C323*RTO_Avoid_Sale/100</f>
        <v>4797.909778</v>
      </c>
      <c r="K323" s="85">
        <f>H323+$C323*RTO_Avoid_Sale/100</f>
        <v>4407.233087</v>
      </c>
      <c r="L323" s="85">
        <f>I323+$C323*RTO_Avoid_Sale/100</f>
        <v>4016.556396</v>
      </c>
    </row>
    <row r="324">
      <c r="A324" s="84">
        <v>101.0</v>
      </c>
      <c r="B324" s="17">
        <f>IF(A324&lt;=12,ST_M1+(ST_M12-ST_M1)*(A324-1)/11,IF(A324&lt;=36,ST_M12+(ST_M36-ST_M12)*(A324-12)/24,ST_M36))</f>
        <v>0.375</v>
      </c>
      <c r="C324" s="81">
        <f>Routed_M_P*SUM(B$224:B324)/10^5</f>
        <v>3951.862333</v>
      </c>
      <c r="D324" s="85">
        <f>(Routed_M_P*($B324*Prof1-(1-$B324)*Rent_Unsold)-Maint_P)/10^7</f>
        <v>1.710689548</v>
      </c>
      <c r="E324" s="85">
        <f>(Routed_M_P*($B324*Prof2-(1-$B324)*Rent_Unsold)-Maint_P)/10^7</f>
        <v>-2.798852863</v>
      </c>
      <c r="F324" s="85">
        <f>(Routed_M_P*($B324*Prof3-(1-$B324)*Rent_Unsold)-Maint_P)/10^7</f>
        <v>-7.308395273</v>
      </c>
      <c r="G324" s="85">
        <f>SUM(D$224:D324)-OneTime_P/10^7</f>
        <v>111.5001774</v>
      </c>
      <c r="H324" s="85">
        <f>SUM(E$224:E324)-OneTime_P/10^7</f>
        <v>-283.6860559</v>
      </c>
      <c r="I324" s="85">
        <f>SUM(F$224:F324)-OneTime_P/10^7</f>
        <v>-678.8722891</v>
      </c>
      <c r="J324" s="85">
        <f>G324+$C324*RTO_Avoid_Sale/100</f>
        <v>4853.734976</v>
      </c>
      <c r="K324" s="85">
        <f>H324+$C324*RTO_Avoid_Sale/100</f>
        <v>4458.548743</v>
      </c>
      <c r="L324" s="85">
        <f>I324+$C324*RTO_Avoid_Sale/100</f>
        <v>4063.36251</v>
      </c>
    </row>
    <row r="325">
      <c r="A325" s="84">
        <v>102.0</v>
      </c>
      <c r="B325" s="17">
        <f>IF(A325&lt;=12,ST_M1+(ST_M12-ST_M1)*(A325-1)/11,IF(A325&lt;=36,ST_M12+(ST_M36-ST_M12)*(A325-12)/24,ST_M36))</f>
        <v>0.375</v>
      </c>
      <c r="C325" s="81">
        <f>Routed_M_P*SUM(B$224:B325)/10^5</f>
        <v>3996.957757</v>
      </c>
      <c r="D325" s="85">
        <f>(Routed_M_P*($B325*Prof1-(1-$B325)*Rent_Unsold)-Maint_P)/10^7</f>
        <v>1.710689548</v>
      </c>
      <c r="E325" s="85">
        <f>(Routed_M_P*($B325*Prof2-(1-$B325)*Rent_Unsold)-Maint_P)/10^7</f>
        <v>-2.798852863</v>
      </c>
      <c r="F325" s="85">
        <f>(Routed_M_P*($B325*Prof3-(1-$B325)*Rent_Unsold)-Maint_P)/10^7</f>
        <v>-7.308395273</v>
      </c>
      <c r="G325" s="85">
        <f>SUM(D$224:D325)-OneTime_P/10^7</f>
        <v>113.2108669</v>
      </c>
      <c r="H325" s="85">
        <f>SUM(E$224:E325)-OneTime_P/10^7</f>
        <v>-286.4849087</v>
      </c>
      <c r="I325" s="85">
        <f>SUM(F$224:F325)-OneTime_P/10^7</f>
        <v>-686.1806844</v>
      </c>
      <c r="J325" s="85">
        <f>G325+$C325*RTO_Avoid_Sale/100</f>
        <v>4909.560175</v>
      </c>
      <c r="K325" s="85">
        <f>H325+$C325*RTO_Avoid_Sale/100</f>
        <v>4509.864399</v>
      </c>
      <c r="L325" s="85">
        <f>I325+$C325*RTO_Avoid_Sale/100</f>
        <v>4110.168624</v>
      </c>
    </row>
    <row r="326">
      <c r="A326" s="84">
        <v>103.0</v>
      </c>
      <c r="B326" s="17">
        <f>IF(A326&lt;=12,ST_M1+(ST_M12-ST_M1)*(A326-1)/11,IF(A326&lt;=36,ST_M12+(ST_M36-ST_M12)*(A326-12)/24,ST_M36))</f>
        <v>0.375</v>
      </c>
      <c r="C326" s="81">
        <f>Routed_M_P*SUM(B$224:B326)/10^5</f>
        <v>4042.053181</v>
      </c>
      <c r="D326" s="85">
        <f>(Routed_M_P*($B326*Prof1-(1-$B326)*Rent_Unsold)-Maint_P)/10^7</f>
        <v>1.710689548</v>
      </c>
      <c r="E326" s="85">
        <f>(Routed_M_P*($B326*Prof2-(1-$B326)*Rent_Unsold)-Maint_P)/10^7</f>
        <v>-2.798852863</v>
      </c>
      <c r="F326" s="85">
        <f>(Routed_M_P*($B326*Prof3-(1-$B326)*Rent_Unsold)-Maint_P)/10^7</f>
        <v>-7.308395273</v>
      </c>
      <c r="G326" s="85">
        <f>SUM(D$224:D326)-OneTime_P/10^7</f>
        <v>114.9215565</v>
      </c>
      <c r="H326" s="85">
        <f>SUM(E$224:E326)-OneTime_P/10^7</f>
        <v>-289.2837616</v>
      </c>
      <c r="I326" s="85">
        <f>SUM(F$224:F326)-OneTime_P/10^7</f>
        <v>-693.4890797</v>
      </c>
      <c r="J326" s="85">
        <f>G326+$C326*RTO_Avoid_Sale/100</f>
        <v>4965.385373</v>
      </c>
      <c r="K326" s="85">
        <f>H326+$C326*RTO_Avoid_Sale/100</f>
        <v>4561.180055</v>
      </c>
      <c r="L326" s="85">
        <f>I326+$C326*RTO_Avoid_Sale/100</f>
        <v>4156.974737</v>
      </c>
    </row>
    <row r="327">
      <c r="A327" s="84">
        <v>104.0</v>
      </c>
      <c r="B327" s="17">
        <f>IF(A327&lt;=12,ST_M1+(ST_M12-ST_M1)*(A327-1)/11,IF(A327&lt;=36,ST_M12+(ST_M36-ST_M12)*(A327-12)/24,ST_M36))</f>
        <v>0.375</v>
      </c>
      <c r="C327" s="81">
        <f>Routed_M_P*SUM(B$224:B327)/10^5</f>
        <v>4087.148605</v>
      </c>
      <c r="D327" s="85">
        <f>(Routed_M_P*($B327*Prof1-(1-$B327)*Rent_Unsold)-Maint_P)/10^7</f>
        <v>1.710689548</v>
      </c>
      <c r="E327" s="85">
        <f>(Routed_M_P*($B327*Prof2-(1-$B327)*Rent_Unsold)-Maint_P)/10^7</f>
        <v>-2.798852863</v>
      </c>
      <c r="F327" s="85">
        <f>(Routed_M_P*($B327*Prof3-(1-$B327)*Rent_Unsold)-Maint_P)/10^7</f>
        <v>-7.308395273</v>
      </c>
      <c r="G327" s="85">
        <f>SUM(D$224:D327)-OneTime_P/10^7</f>
        <v>116.632246</v>
      </c>
      <c r="H327" s="85">
        <f>SUM(E$224:E327)-OneTime_P/10^7</f>
        <v>-292.0826145</v>
      </c>
      <c r="I327" s="85">
        <f>SUM(F$224:F327)-OneTime_P/10^7</f>
        <v>-700.7974749</v>
      </c>
      <c r="J327" s="85">
        <f>G327+$C327*RTO_Avoid_Sale/100</f>
        <v>5021.210572</v>
      </c>
      <c r="K327" s="85">
        <f>H327+$C327*RTO_Avoid_Sale/100</f>
        <v>4612.495711</v>
      </c>
      <c r="L327" s="85">
        <f>I327+$C327*RTO_Avoid_Sale/100</f>
        <v>4203.780851</v>
      </c>
    </row>
    <row r="328">
      <c r="A328" s="84">
        <v>105.0</v>
      </c>
      <c r="B328" s="17">
        <f>IF(A328&lt;=12,ST_M1+(ST_M12-ST_M1)*(A328-1)/11,IF(A328&lt;=36,ST_M12+(ST_M36-ST_M12)*(A328-12)/24,ST_M36))</f>
        <v>0.375</v>
      </c>
      <c r="C328" s="81">
        <f>Routed_M_P*SUM(B$224:B328)/10^5</f>
        <v>4132.244029</v>
      </c>
      <c r="D328" s="85">
        <f>(Routed_M_P*($B328*Prof1-(1-$B328)*Rent_Unsold)-Maint_P)/10^7</f>
        <v>1.710689548</v>
      </c>
      <c r="E328" s="85">
        <f>(Routed_M_P*($B328*Prof2-(1-$B328)*Rent_Unsold)-Maint_P)/10^7</f>
        <v>-2.798852863</v>
      </c>
      <c r="F328" s="85">
        <f>(Routed_M_P*($B328*Prof3-(1-$B328)*Rent_Unsold)-Maint_P)/10^7</f>
        <v>-7.308395273</v>
      </c>
      <c r="G328" s="85">
        <f>SUM(D$224:D328)-OneTime_P/10^7</f>
        <v>118.3429356</v>
      </c>
      <c r="H328" s="85">
        <f>SUM(E$224:E328)-OneTime_P/10^7</f>
        <v>-294.8814673</v>
      </c>
      <c r="I328" s="85">
        <f>SUM(F$224:F328)-OneTime_P/10^7</f>
        <v>-708.1058702</v>
      </c>
      <c r="J328" s="85">
        <f>G328+$C328*RTO_Avoid_Sale/100</f>
        <v>5077.03577</v>
      </c>
      <c r="K328" s="85">
        <f>H328+$C328*RTO_Avoid_Sale/100</f>
        <v>4663.811368</v>
      </c>
      <c r="L328" s="85">
        <f>I328+$C328*RTO_Avoid_Sale/100</f>
        <v>4250.586965</v>
      </c>
    </row>
    <row r="329">
      <c r="A329" s="84">
        <v>106.0</v>
      </c>
      <c r="B329" s="17">
        <f>IF(A329&lt;=12,ST_M1+(ST_M12-ST_M1)*(A329-1)/11,IF(A329&lt;=36,ST_M12+(ST_M36-ST_M12)*(A329-12)/24,ST_M36))</f>
        <v>0.375</v>
      </c>
      <c r="C329" s="81">
        <f>Routed_M_P*SUM(B$224:B329)/10^5</f>
        <v>4177.339453</v>
      </c>
      <c r="D329" s="85">
        <f>(Routed_M_P*($B329*Prof1-(1-$B329)*Rent_Unsold)-Maint_P)/10^7</f>
        <v>1.710689548</v>
      </c>
      <c r="E329" s="85">
        <f>(Routed_M_P*($B329*Prof2-(1-$B329)*Rent_Unsold)-Maint_P)/10^7</f>
        <v>-2.798852863</v>
      </c>
      <c r="F329" s="85">
        <f>(Routed_M_P*($B329*Prof3-(1-$B329)*Rent_Unsold)-Maint_P)/10^7</f>
        <v>-7.308395273</v>
      </c>
      <c r="G329" s="85">
        <f>SUM(D$224:D329)-OneTime_P/10^7</f>
        <v>120.0536251</v>
      </c>
      <c r="H329" s="85">
        <f>SUM(E$224:E329)-OneTime_P/10^7</f>
        <v>-297.6803202</v>
      </c>
      <c r="I329" s="85">
        <f>SUM(F$224:F329)-OneTime_P/10^7</f>
        <v>-715.4142655</v>
      </c>
      <c r="J329" s="85">
        <f>G329+$C329*RTO_Avoid_Sale/100</f>
        <v>5132.860969</v>
      </c>
      <c r="K329" s="85">
        <f>H329+$C329*RTO_Avoid_Sale/100</f>
        <v>4715.127024</v>
      </c>
      <c r="L329" s="85">
        <f>I329+$C329*RTO_Avoid_Sale/100</f>
        <v>4297.393078</v>
      </c>
    </row>
    <row r="330">
      <c r="A330" s="84">
        <v>107.0</v>
      </c>
      <c r="B330" s="17">
        <f>IF(A330&lt;=12,ST_M1+(ST_M12-ST_M1)*(A330-1)/11,IF(A330&lt;=36,ST_M12+(ST_M36-ST_M12)*(A330-12)/24,ST_M36))</f>
        <v>0.375</v>
      </c>
      <c r="C330" s="81">
        <f>Routed_M_P*SUM(B$224:B330)/10^5</f>
        <v>4222.434877</v>
      </c>
      <c r="D330" s="85">
        <f>(Routed_M_P*($B330*Prof1-(1-$B330)*Rent_Unsold)-Maint_P)/10^7</f>
        <v>1.710689548</v>
      </c>
      <c r="E330" s="85">
        <f>(Routed_M_P*($B330*Prof2-(1-$B330)*Rent_Unsold)-Maint_P)/10^7</f>
        <v>-2.798852863</v>
      </c>
      <c r="F330" s="85">
        <f>(Routed_M_P*($B330*Prof3-(1-$B330)*Rent_Unsold)-Maint_P)/10^7</f>
        <v>-7.308395273</v>
      </c>
      <c r="G330" s="85">
        <f>SUM(D$224:D330)-OneTime_P/10^7</f>
        <v>121.7643147</v>
      </c>
      <c r="H330" s="85">
        <f>SUM(E$224:E330)-OneTime_P/10^7</f>
        <v>-300.479173</v>
      </c>
      <c r="I330" s="85">
        <f>SUM(F$224:F330)-OneTime_P/10^7</f>
        <v>-722.7226608</v>
      </c>
      <c r="J330" s="85">
        <f>G330+$C330*RTO_Avoid_Sale/100</f>
        <v>5188.686167</v>
      </c>
      <c r="K330" s="85">
        <f>H330+$C330*RTO_Avoid_Sale/100</f>
        <v>4766.44268</v>
      </c>
      <c r="L330" s="85">
        <f>I330+$C330*RTO_Avoid_Sale/100</f>
        <v>4344.199192</v>
      </c>
    </row>
    <row r="331">
      <c r="A331" s="84">
        <v>108.0</v>
      </c>
      <c r="B331" s="17">
        <f>IF(A331&lt;=12,ST_M1+(ST_M12-ST_M1)*(A331-1)/11,IF(A331&lt;=36,ST_M12+(ST_M36-ST_M12)*(A331-12)/24,ST_M36))</f>
        <v>0.375</v>
      </c>
      <c r="C331" s="81">
        <f>Routed_M_P*SUM(B$224:B331)/10^5</f>
        <v>4267.530301</v>
      </c>
      <c r="D331" s="85">
        <f>(Routed_M_P*($B331*Prof1-(1-$B331)*Rent_Unsold)-Maint_P)/10^7</f>
        <v>1.710689548</v>
      </c>
      <c r="E331" s="85">
        <f>(Routed_M_P*($B331*Prof2-(1-$B331)*Rent_Unsold)-Maint_P)/10^7</f>
        <v>-2.798852863</v>
      </c>
      <c r="F331" s="85">
        <f>(Routed_M_P*($B331*Prof3-(1-$B331)*Rent_Unsold)-Maint_P)/10^7</f>
        <v>-7.308395273</v>
      </c>
      <c r="G331" s="85">
        <f>SUM(D$224:D331)-OneTime_P/10^7</f>
        <v>123.4750042</v>
      </c>
      <c r="H331" s="85">
        <f>SUM(E$224:E331)-OneTime_P/10^7</f>
        <v>-303.2780259</v>
      </c>
      <c r="I331" s="85">
        <f>SUM(F$224:F331)-OneTime_P/10^7</f>
        <v>-730.031056</v>
      </c>
      <c r="J331" s="85">
        <f>G331+$C331*RTO_Avoid_Sale/100</f>
        <v>5244.511366</v>
      </c>
      <c r="K331" s="85">
        <f>H331+$C331*RTO_Avoid_Sale/100</f>
        <v>4817.758336</v>
      </c>
      <c r="L331" s="85">
        <f>I331+$C331*RTO_Avoid_Sale/100</f>
        <v>4391.005306</v>
      </c>
    </row>
    <row r="332">
      <c r="A332" s="84">
        <v>109.0</v>
      </c>
      <c r="B332" s="17">
        <f>IF(A332&lt;=12,ST_M1+(ST_M12-ST_M1)*(A332-1)/11,IF(A332&lt;=36,ST_M12+(ST_M36-ST_M12)*(A332-12)/24,ST_M36))</f>
        <v>0.375</v>
      </c>
      <c r="C332" s="81">
        <f>Routed_M_P*SUM(B$224:B332)/10^5</f>
        <v>4312.625725</v>
      </c>
      <c r="D332" s="85">
        <f>(Routed_M_P*($B332*Prof1-(1-$B332)*Rent_Unsold)-Maint_P)/10^7</f>
        <v>1.710689548</v>
      </c>
      <c r="E332" s="85">
        <f>(Routed_M_P*($B332*Prof2-(1-$B332)*Rent_Unsold)-Maint_P)/10^7</f>
        <v>-2.798852863</v>
      </c>
      <c r="F332" s="85">
        <f>(Routed_M_P*($B332*Prof3-(1-$B332)*Rent_Unsold)-Maint_P)/10^7</f>
        <v>-7.308395273</v>
      </c>
      <c r="G332" s="85">
        <f>SUM(D$224:D332)-OneTime_P/10^7</f>
        <v>125.1856938</v>
      </c>
      <c r="H332" s="85">
        <f>SUM(E$224:E332)-OneTime_P/10^7</f>
        <v>-306.0768788</v>
      </c>
      <c r="I332" s="85">
        <f>SUM(F$224:F332)-OneTime_P/10^7</f>
        <v>-737.3394513</v>
      </c>
      <c r="J332" s="85">
        <f>G332+$C332*RTO_Avoid_Sale/100</f>
        <v>5300.336564</v>
      </c>
      <c r="K332" s="85">
        <f>H332+$C332*RTO_Avoid_Sale/100</f>
        <v>4869.073992</v>
      </c>
      <c r="L332" s="85">
        <f>I332+$C332*RTO_Avoid_Sale/100</f>
        <v>4437.811419</v>
      </c>
    </row>
    <row r="333">
      <c r="A333" s="84">
        <v>110.0</v>
      </c>
      <c r="B333" s="17">
        <f>IF(A333&lt;=12,ST_M1+(ST_M12-ST_M1)*(A333-1)/11,IF(A333&lt;=36,ST_M12+(ST_M36-ST_M12)*(A333-12)/24,ST_M36))</f>
        <v>0.375</v>
      </c>
      <c r="C333" s="81">
        <f>Routed_M_P*SUM(B$224:B333)/10^5</f>
        <v>4357.72115</v>
      </c>
      <c r="D333" s="85">
        <f>(Routed_M_P*($B333*Prof1-(1-$B333)*Rent_Unsold)-Maint_P)/10^7</f>
        <v>1.710689548</v>
      </c>
      <c r="E333" s="85">
        <f>(Routed_M_P*($B333*Prof2-(1-$B333)*Rent_Unsold)-Maint_P)/10^7</f>
        <v>-2.798852863</v>
      </c>
      <c r="F333" s="85">
        <f>(Routed_M_P*($B333*Prof3-(1-$B333)*Rent_Unsold)-Maint_P)/10^7</f>
        <v>-7.308395273</v>
      </c>
      <c r="G333" s="85">
        <f>SUM(D$224:D333)-OneTime_P/10^7</f>
        <v>126.8963833</v>
      </c>
      <c r="H333" s="85">
        <f>SUM(E$224:E333)-OneTime_P/10^7</f>
        <v>-308.8757316</v>
      </c>
      <c r="I333" s="85">
        <f>SUM(F$224:F333)-OneTime_P/10^7</f>
        <v>-744.6478466</v>
      </c>
      <c r="J333" s="85">
        <f>G333+$C333*RTO_Avoid_Sale/100</f>
        <v>5356.161763</v>
      </c>
      <c r="K333" s="85">
        <f>H333+$C333*RTO_Avoid_Sale/100</f>
        <v>4920.389648</v>
      </c>
      <c r="L333" s="85">
        <f>I333+$C333*RTO_Avoid_Sale/100</f>
        <v>4484.617533</v>
      </c>
    </row>
    <row r="334">
      <c r="A334" s="84">
        <v>111.0</v>
      </c>
      <c r="B334" s="17">
        <f>IF(A334&lt;=12,ST_M1+(ST_M12-ST_M1)*(A334-1)/11,IF(A334&lt;=36,ST_M12+(ST_M36-ST_M12)*(A334-12)/24,ST_M36))</f>
        <v>0.375</v>
      </c>
      <c r="C334" s="81">
        <f>Routed_M_P*SUM(B$224:B334)/10^5</f>
        <v>4402.816574</v>
      </c>
      <c r="D334" s="85">
        <f>(Routed_M_P*($B334*Prof1-(1-$B334)*Rent_Unsold)-Maint_P)/10^7</f>
        <v>1.710689548</v>
      </c>
      <c r="E334" s="85">
        <f>(Routed_M_P*($B334*Prof2-(1-$B334)*Rent_Unsold)-Maint_P)/10^7</f>
        <v>-2.798852863</v>
      </c>
      <c r="F334" s="85">
        <f>(Routed_M_P*($B334*Prof3-(1-$B334)*Rent_Unsold)-Maint_P)/10^7</f>
        <v>-7.308395273</v>
      </c>
      <c r="G334" s="85">
        <f>SUM(D$224:D334)-OneTime_P/10^7</f>
        <v>128.6070729</v>
      </c>
      <c r="H334" s="85">
        <f>SUM(E$224:E334)-OneTime_P/10^7</f>
        <v>-311.6745845</v>
      </c>
      <c r="I334" s="85">
        <f>SUM(F$224:F334)-OneTime_P/10^7</f>
        <v>-751.9562419</v>
      </c>
      <c r="J334" s="85">
        <f>G334+$C334*RTO_Avoid_Sale/100</f>
        <v>5411.986961</v>
      </c>
      <c r="K334" s="85">
        <f>H334+$C334*RTO_Avoid_Sale/100</f>
        <v>4971.705304</v>
      </c>
      <c r="L334" s="85">
        <f>I334+$C334*RTO_Avoid_Sale/100</f>
        <v>4531.423647</v>
      </c>
    </row>
    <row r="335">
      <c r="A335" s="84">
        <v>112.0</v>
      </c>
      <c r="B335" s="17">
        <f>IF(A335&lt;=12,ST_M1+(ST_M12-ST_M1)*(A335-1)/11,IF(A335&lt;=36,ST_M12+(ST_M36-ST_M12)*(A335-12)/24,ST_M36))</f>
        <v>0.375</v>
      </c>
      <c r="C335" s="81">
        <f>Routed_M_P*SUM(B$224:B335)/10^5</f>
        <v>4447.911998</v>
      </c>
      <c r="D335" s="85">
        <f>(Routed_M_P*($B335*Prof1-(1-$B335)*Rent_Unsold)-Maint_P)/10^7</f>
        <v>1.710689548</v>
      </c>
      <c r="E335" s="85">
        <f>(Routed_M_P*($B335*Prof2-(1-$B335)*Rent_Unsold)-Maint_P)/10^7</f>
        <v>-2.798852863</v>
      </c>
      <c r="F335" s="85">
        <f>(Routed_M_P*($B335*Prof3-(1-$B335)*Rent_Unsold)-Maint_P)/10^7</f>
        <v>-7.308395273</v>
      </c>
      <c r="G335" s="85">
        <f>SUM(D$224:D335)-OneTime_P/10^7</f>
        <v>130.3177624</v>
      </c>
      <c r="H335" s="85">
        <f>SUM(E$224:E335)-OneTime_P/10^7</f>
        <v>-314.4734374</v>
      </c>
      <c r="I335" s="85">
        <f>SUM(F$224:F335)-OneTime_P/10^7</f>
        <v>-759.2646371</v>
      </c>
      <c r="J335" s="85">
        <f>G335+$C335*RTO_Avoid_Sale/100</f>
        <v>5467.81216</v>
      </c>
      <c r="K335" s="85">
        <f>H335+$C335*RTO_Avoid_Sale/100</f>
        <v>5023.02096</v>
      </c>
      <c r="L335" s="85">
        <f>I335+$C335*RTO_Avoid_Sale/100</f>
        <v>4578.22976</v>
      </c>
    </row>
    <row r="336">
      <c r="A336" s="84">
        <v>113.0</v>
      </c>
      <c r="B336" s="17">
        <f>IF(A336&lt;=12,ST_M1+(ST_M12-ST_M1)*(A336-1)/11,IF(A336&lt;=36,ST_M12+(ST_M36-ST_M12)*(A336-12)/24,ST_M36))</f>
        <v>0.375</v>
      </c>
      <c r="C336" s="81">
        <f>Routed_M_P*SUM(B$224:B336)/10^5</f>
        <v>4493.007422</v>
      </c>
      <c r="D336" s="85">
        <f>(Routed_M_P*($B336*Prof1-(1-$B336)*Rent_Unsold)-Maint_P)/10^7</f>
        <v>1.710689548</v>
      </c>
      <c r="E336" s="85">
        <f>(Routed_M_P*($B336*Prof2-(1-$B336)*Rent_Unsold)-Maint_P)/10^7</f>
        <v>-2.798852863</v>
      </c>
      <c r="F336" s="85">
        <f>(Routed_M_P*($B336*Prof3-(1-$B336)*Rent_Unsold)-Maint_P)/10^7</f>
        <v>-7.308395273</v>
      </c>
      <c r="G336" s="85">
        <f>SUM(D$224:D336)-OneTime_P/10^7</f>
        <v>132.028452</v>
      </c>
      <c r="H336" s="85">
        <f>SUM(E$224:E336)-OneTime_P/10^7</f>
        <v>-317.2722902</v>
      </c>
      <c r="I336" s="85">
        <f>SUM(F$224:F336)-OneTime_P/10^7</f>
        <v>-766.5730324</v>
      </c>
      <c r="J336" s="85">
        <f>G336+$C336*RTO_Avoid_Sale/100</f>
        <v>5523.637358</v>
      </c>
      <c r="K336" s="85">
        <f>H336+$C336*RTO_Avoid_Sale/100</f>
        <v>5074.336616</v>
      </c>
      <c r="L336" s="85">
        <f>I336+$C336*RTO_Avoid_Sale/100</f>
        <v>4625.035874</v>
      </c>
    </row>
    <row r="337">
      <c r="A337" s="84">
        <v>114.0</v>
      </c>
      <c r="B337" s="17">
        <f>IF(A337&lt;=12,ST_M1+(ST_M12-ST_M1)*(A337-1)/11,IF(A337&lt;=36,ST_M12+(ST_M36-ST_M12)*(A337-12)/24,ST_M36))</f>
        <v>0.375</v>
      </c>
      <c r="C337" s="81">
        <f>Routed_M_P*SUM(B$224:B337)/10^5</f>
        <v>4538.102846</v>
      </c>
      <c r="D337" s="85">
        <f>(Routed_M_P*($B337*Prof1-(1-$B337)*Rent_Unsold)-Maint_P)/10^7</f>
        <v>1.710689548</v>
      </c>
      <c r="E337" s="85">
        <f>(Routed_M_P*($B337*Prof2-(1-$B337)*Rent_Unsold)-Maint_P)/10^7</f>
        <v>-2.798852863</v>
      </c>
      <c r="F337" s="85">
        <f>(Routed_M_P*($B337*Prof3-(1-$B337)*Rent_Unsold)-Maint_P)/10^7</f>
        <v>-7.308395273</v>
      </c>
      <c r="G337" s="85">
        <f>SUM(D$224:D337)-OneTime_P/10^7</f>
        <v>133.7391415</v>
      </c>
      <c r="H337" s="85">
        <f>SUM(E$224:E337)-OneTime_P/10^7</f>
        <v>-320.0711431</v>
      </c>
      <c r="I337" s="85">
        <f>SUM(F$224:F337)-OneTime_P/10^7</f>
        <v>-773.8814277</v>
      </c>
      <c r="J337" s="85">
        <f>G337+$C337*RTO_Avoid_Sale/100</f>
        <v>5579.462557</v>
      </c>
      <c r="K337" s="85">
        <f>H337+$C337*RTO_Avoid_Sale/100</f>
        <v>5125.652272</v>
      </c>
      <c r="L337" s="85">
        <f>I337+$C337*RTO_Avoid_Sale/100</f>
        <v>4671.841987</v>
      </c>
    </row>
    <row r="338">
      <c r="A338" s="84">
        <v>115.0</v>
      </c>
      <c r="B338" s="17">
        <f>IF(A338&lt;=12,ST_M1+(ST_M12-ST_M1)*(A338-1)/11,IF(A338&lt;=36,ST_M12+(ST_M36-ST_M12)*(A338-12)/24,ST_M36))</f>
        <v>0.375</v>
      </c>
      <c r="C338" s="81">
        <f>Routed_M_P*SUM(B$224:B338)/10^5</f>
        <v>4583.19827</v>
      </c>
      <c r="D338" s="85">
        <f>(Routed_M_P*($B338*Prof1-(1-$B338)*Rent_Unsold)-Maint_P)/10^7</f>
        <v>1.710689548</v>
      </c>
      <c r="E338" s="85">
        <f>(Routed_M_P*($B338*Prof2-(1-$B338)*Rent_Unsold)-Maint_P)/10^7</f>
        <v>-2.798852863</v>
      </c>
      <c r="F338" s="85">
        <f>(Routed_M_P*($B338*Prof3-(1-$B338)*Rent_Unsold)-Maint_P)/10^7</f>
        <v>-7.308395273</v>
      </c>
      <c r="G338" s="85">
        <f>SUM(D$224:D338)-OneTime_P/10^7</f>
        <v>135.4498311</v>
      </c>
      <c r="H338" s="85">
        <f>SUM(E$224:E338)-OneTime_P/10^7</f>
        <v>-322.8699959</v>
      </c>
      <c r="I338" s="85">
        <f>SUM(F$224:F338)-OneTime_P/10^7</f>
        <v>-781.189823</v>
      </c>
      <c r="J338" s="85">
        <f>G338+$C338*RTO_Avoid_Sale/100</f>
        <v>5635.287755</v>
      </c>
      <c r="K338" s="85">
        <f>H338+$C338*RTO_Avoid_Sale/100</f>
        <v>5176.967928</v>
      </c>
      <c r="L338" s="85">
        <f>I338+$C338*RTO_Avoid_Sale/100</f>
        <v>4718.648101</v>
      </c>
    </row>
    <row r="339">
      <c r="A339" s="84">
        <v>116.0</v>
      </c>
      <c r="B339" s="17">
        <f>IF(A339&lt;=12,ST_M1+(ST_M12-ST_M1)*(A339-1)/11,IF(A339&lt;=36,ST_M12+(ST_M36-ST_M12)*(A339-12)/24,ST_M36))</f>
        <v>0.375</v>
      </c>
      <c r="C339" s="81">
        <f>Routed_M_P*SUM(B$224:B339)/10^5</f>
        <v>4628.293694</v>
      </c>
      <c r="D339" s="85">
        <f>(Routed_M_P*($B339*Prof1-(1-$B339)*Rent_Unsold)-Maint_P)/10^7</f>
        <v>1.710689548</v>
      </c>
      <c r="E339" s="85">
        <f>(Routed_M_P*($B339*Prof2-(1-$B339)*Rent_Unsold)-Maint_P)/10^7</f>
        <v>-2.798852863</v>
      </c>
      <c r="F339" s="85">
        <f>(Routed_M_P*($B339*Prof3-(1-$B339)*Rent_Unsold)-Maint_P)/10^7</f>
        <v>-7.308395273</v>
      </c>
      <c r="G339" s="85">
        <f>SUM(D$224:D339)-OneTime_P/10^7</f>
        <v>137.1605206</v>
      </c>
      <c r="H339" s="85">
        <f>SUM(E$224:E339)-OneTime_P/10^7</f>
        <v>-325.6688488</v>
      </c>
      <c r="I339" s="85">
        <f>SUM(F$224:F339)-OneTime_P/10^7</f>
        <v>-788.4982182</v>
      </c>
      <c r="J339" s="85">
        <f>G339+$C339*RTO_Avoid_Sale/100</f>
        <v>5691.112954</v>
      </c>
      <c r="K339" s="85">
        <f>H339+$C339*RTO_Avoid_Sale/100</f>
        <v>5228.283584</v>
      </c>
      <c r="L339" s="85">
        <f>I339+$C339*RTO_Avoid_Sale/100</f>
        <v>4765.454215</v>
      </c>
    </row>
    <row r="340">
      <c r="A340" s="84">
        <v>117.0</v>
      </c>
      <c r="B340" s="17">
        <f>IF(A340&lt;=12,ST_M1+(ST_M12-ST_M1)*(A340-1)/11,IF(A340&lt;=36,ST_M12+(ST_M36-ST_M12)*(A340-12)/24,ST_M36))</f>
        <v>0.375</v>
      </c>
      <c r="C340" s="81">
        <f>Routed_M_P*SUM(B$224:B340)/10^5</f>
        <v>4673.389118</v>
      </c>
      <c r="D340" s="85">
        <f>(Routed_M_P*($B340*Prof1-(1-$B340)*Rent_Unsold)-Maint_P)/10^7</f>
        <v>1.710689548</v>
      </c>
      <c r="E340" s="85">
        <f>(Routed_M_P*($B340*Prof2-(1-$B340)*Rent_Unsold)-Maint_P)/10^7</f>
        <v>-2.798852863</v>
      </c>
      <c r="F340" s="85">
        <f>(Routed_M_P*($B340*Prof3-(1-$B340)*Rent_Unsold)-Maint_P)/10^7</f>
        <v>-7.308395273</v>
      </c>
      <c r="G340" s="85">
        <f>SUM(D$224:D340)-OneTime_P/10^7</f>
        <v>138.8712102</v>
      </c>
      <c r="H340" s="85">
        <f>SUM(E$224:E340)-OneTime_P/10^7</f>
        <v>-328.4677017</v>
      </c>
      <c r="I340" s="85">
        <f>SUM(F$224:F340)-OneTime_P/10^7</f>
        <v>-795.8066135</v>
      </c>
      <c r="J340" s="85">
        <f>G340+$C340*RTO_Avoid_Sale/100</f>
        <v>5746.938152</v>
      </c>
      <c r="K340" s="85">
        <f>H340+$C340*RTO_Avoid_Sale/100</f>
        <v>5279.59924</v>
      </c>
      <c r="L340" s="85">
        <f>I340+$C340*RTO_Avoid_Sale/100</f>
        <v>4812.260328</v>
      </c>
    </row>
    <row r="341">
      <c r="A341" s="84">
        <v>118.0</v>
      </c>
      <c r="B341" s="17">
        <f>IF(A341&lt;=12,ST_M1+(ST_M12-ST_M1)*(A341-1)/11,IF(A341&lt;=36,ST_M12+(ST_M36-ST_M12)*(A341-12)/24,ST_M36))</f>
        <v>0.375</v>
      </c>
      <c r="C341" s="81">
        <f>Routed_M_P*SUM(B$224:B341)/10^5</f>
        <v>4718.484542</v>
      </c>
      <c r="D341" s="85">
        <f>(Routed_M_P*($B341*Prof1-(1-$B341)*Rent_Unsold)-Maint_P)/10^7</f>
        <v>1.710689548</v>
      </c>
      <c r="E341" s="85">
        <f>(Routed_M_P*($B341*Prof2-(1-$B341)*Rent_Unsold)-Maint_P)/10^7</f>
        <v>-2.798852863</v>
      </c>
      <c r="F341" s="85">
        <f>(Routed_M_P*($B341*Prof3-(1-$B341)*Rent_Unsold)-Maint_P)/10^7</f>
        <v>-7.308395273</v>
      </c>
      <c r="G341" s="85">
        <f>SUM(D$224:D341)-OneTime_P/10^7</f>
        <v>140.5818997</v>
      </c>
      <c r="H341" s="85">
        <f>SUM(E$224:E341)-OneTime_P/10^7</f>
        <v>-331.2665545</v>
      </c>
      <c r="I341" s="85">
        <f>SUM(F$224:F341)-OneTime_P/10^7</f>
        <v>-803.1150088</v>
      </c>
      <c r="J341" s="85">
        <f>G341+$C341*RTO_Avoid_Sale/100</f>
        <v>5802.763351</v>
      </c>
      <c r="K341" s="85">
        <f>H341+$C341*RTO_Avoid_Sale/100</f>
        <v>5330.914896</v>
      </c>
      <c r="L341" s="85">
        <f>I341+$C341*RTO_Avoid_Sale/100</f>
        <v>4859.066442</v>
      </c>
    </row>
    <row r="342">
      <c r="A342" s="84">
        <v>119.0</v>
      </c>
      <c r="B342" s="17">
        <f>IF(A342&lt;=12,ST_M1+(ST_M12-ST_M1)*(A342-1)/11,IF(A342&lt;=36,ST_M12+(ST_M36-ST_M12)*(A342-12)/24,ST_M36))</f>
        <v>0.375</v>
      </c>
      <c r="C342" s="81">
        <f>Routed_M_P*SUM(B$224:B342)/10^5</f>
        <v>4763.579967</v>
      </c>
      <c r="D342" s="85">
        <f>(Routed_M_P*($B342*Prof1-(1-$B342)*Rent_Unsold)-Maint_P)/10^7</f>
        <v>1.710689548</v>
      </c>
      <c r="E342" s="85">
        <f>(Routed_M_P*($B342*Prof2-(1-$B342)*Rent_Unsold)-Maint_P)/10^7</f>
        <v>-2.798852863</v>
      </c>
      <c r="F342" s="85">
        <f>(Routed_M_P*($B342*Prof3-(1-$B342)*Rent_Unsold)-Maint_P)/10^7</f>
        <v>-7.308395273</v>
      </c>
      <c r="G342" s="85">
        <f>SUM(D$224:D342)-OneTime_P/10^7</f>
        <v>142.2925893</v>
      </c>
      <c r="H342" s="85">
        <f>SUM(E$224:E342)-OneTime_P/10^7</f>
        <v>-334.0654074</v>
      </c>
      <c r="I342" s="85">
        <f>SUM(F$224:F342)-OneTime_P/10^7</f>
        <v>-810.4234041</v>
      </c>
      <c r="J342" s="85">
        <f>G342+$C342*RTO_Avoid_Sale/100</f>
        <v>5858.588549</v>
      </c>
      <c r="K342" s="85">
        <f>H342+$C342*RTO_Avoid_Sale/100</f>
        <v>5382.230552</v>
      </c>
      <c r="L342" s="85">
        <f>I342+$C342*RTO_Avoid_Sale/100</f>
        <v>4905.872556</v>
      </c>
    </row>
    <row r="343">
      <c r="A343" s="84">
        <v>120.0</v>
      </c>
      <c r="B343" s="17">
        <f>IF(A343&lt;=12,ST_M1+(ST_M12-ST_M1)*(A343-1)/11,IF(A343&lt;=36,ST_M12+(ST_M36-ST_M12)*(A343-12)/24,ST_M36))</f>
        <v>0.375</v>
      </c>
      <c r="C343" s="81">
        <f>Routed_M_P*SUM(B$224:B343)/10^5</f>
        <v>4808.675391</v>
      </c>
      <c r="D343" s="85">
        <f>(Routed_M_P*($B343*Prof1-(1-$B343)*Rent_Unsold)-Maint_P)/10^7</f>
        <v>1.710689548</v>
      </c>
      <c r="E343" s="85">
        <f>(Routed_M_P*($B343*Prof2-(1-$B343)*Rent_Unsold)-Maint_P)/10^7</f>
        <v>-2.798852863</v>
      </c>
      <c r="F343" s="85">
        <f>(Routed_M_P*($B343*Prof3-(1-$B343)*Rent_Unsold)-Maint_P)/10^7</f>
        <v>-7.308395273</v>
      </c>
      <c r="G343" s="85">
        <f>SUM(D$224:D343)-OneTime_P/10^7</f>
        <v>144.0032788</v>
      </c>
      <c r="H343" s="85">
        <f>SUM(E$224:E343)-OneTime_P/10^7</f>
        <v>-336.8642603</v>
      </c>
      <c r="I343" s="85">
        <f>SUM(F$224:F343)-OneTime_P/10^7</f>
        <v>-817.7317993</v>
      </c>
      <c r="J343" s="85">
        <f>G343+$C343*RTO_Avoid_Sale/100</f>
        <v>5914.413748</v>
      </c>
      <c r="K343" s="85">
        <f>H343+$C343*RTO_Avoid_Sale/100</f>
        <v>5433.546208</v>
      </c>
      <c r="L343" s="85">
        <f>I343+$C343*RTO_Avoid_Sale/100</f>
        <v>4952.678669</v>
      </c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</sheetData>
  <mergeCells count="19">
    <mergeCell ref="A164:K164"/>
    <mergeCell ref="A194:K194"/>
    <mergeCell ref="A206:K206"/>
    <mergeCell ref="A154:D154"/>
    <mergeCell ref="A222:L222"/>
    <mergeCell ref="B6:K6"/>
    <mergeCell ref="A37:D37"/>
    <mergeCell ref="A26:D26"/>
    <mergeCell ref="A48:B48"/>
    <mergeCell ref="A54:B54"/>
    <mergeCell ref="A100:E100"/>
    <mergeCell ref="A111:D111"/>
    <mergeCell ref="B3:K3"/>
    <mergeCell ref="B4:K4"/>
    <mergeCell ref="B5:K5"/>
    <mergeCell ref="A61:K61"/>
    <mergeCell ref="A2:K2"/>
    <mergeCell ref="A7:C7"/>
    <mergeCell ref="A60:K60"/>
  </mergeCells>
  <conditionalFormatting sqref="D224:D343">
    <cfRule type="cellIs" dxfId="0" priority="1" operator="greaterThan">
      <formula>0</formula>
    </cfRule>
  </conditionalFormatting>
  <conditionalFormatting sqref="E224:E343">
    <cfRule type="cellIs" dxfId="0" priority="2" operator="greaterThan">
      <formula>0</formula>
    </cfRule>
  </conditionalFormatting>
  <conditionalFormatting sqref="F224:F343">
    <cfRule type="cellIs" dxfId="0" priority="3" operator="greaterThan">
      <formula>0</formula>
    </cfRule>
  </conditionalFormatting>
  <conditionalFormatting sqref="G224:G343">
    <cfRule type="cellIs" dxfId="0" priority="4" operator="greaterThan">
      <formula>0</formula>
    </cfRule>
  </conditionalFormatting>
  <conditionalFormatting sqref="H224:H343">
    <cfRule type="cellIs" dxfId="0" priority="5" operator="greaterThan">
      <formula>0</formula>
    </cfRule>
  </conditionalFormatting>
  <conditionalFormatting sqref="I224:I343">
    <cfRule type="cellIs" dxfId="0" priority="6" operator="greaterThan">
      <formula>0</formula>
    </cfRule>
  </conditionalFormatting>
  <conditionalFormatting sqref="J224:J343">
    <cfRule type="cellIs" dxfId="0" priority="7" operator="greaterThan">
      <formula>0</formula>
    </cfRule>
  </conditionalFormatting>
  <conditionalFormatting sqref="K224:K343">
    <cfRule type="cellIs" dxfId="0" priority="8" operator="greaterThan">
      <formula>0</formula>
    </cfRule>
  </conditionalFormatting>
  <conditionalFormatting sqref="L224:L343">
    <cfRule type="cellIs" dxfId="0" priority="9" operator="greaterThan">
      <formula>0</formula>
    </cfRule>
  </conditionalFormatting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597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6.0"/>
    <col customWidth="1" min="2" max="2" width="15.0"/>
    <col customWidth="1" min="3" max="5" width="17.0"/>
    <col customWidth="1" min="6" max="6" width="48.0"/>
  </cols>
  <sheetData>
    <row r="1" ht="19.5" customHeight="1">
      <c r="A1" s="1" t="s">
        <v>0</v>
      </c>
      <c r="B1" s="5"/>
      <c r="C1" s="5"/>
      <c r="D1" s="5"/>
      <c r="E1" s="5"/>
      <c r="F1" s="5"/>
    </row>
    <row r="2" ht="15.0" customHeight="1">
      <c r="A2" s="7" t="s">
        <v>4</v>
      </c>
      <c r="B2" s="10"/>
      <c r="C2" s="10"/>
      <c r="D2" s="10"/>
      <c r="E2" s="10"/>
      <c r="F2" s="10"/>
    </row>
    <row r="3" ht="15.0" customHeight="1">
      <c r="A3" s="13" t="s">
        <v>12</v>
      </c>
      <c r="B3" s="8" t="s">
        <v>16</v>
      </c>
      <c r="C3" s="8"/>
      <c r="D3" s="8"/>
      <c r="E3" s="8"/>
      <c r="F3" s="8" t="s">
        <v>19</v>
      </c>
    </row>
    <row r="4" ht="15.0" customHeight="1">
      <c r="A4" s="12" t="s">
        <v>20</v>
      </c>
      <c r="B4" s="19">
        <f>N_FMHub+N_FMCart+N_FMSC+N_NLH+N_LMSC+N_RLH</f>
        <v>29</v>
      </c>
      <c r="C4" s="20"/>
      <c r="D4" s="20"/>
      <c r="E4" s="20"/>
      <c r="F4" s="16" t="s">
        <v>31</v>
      </c>
    </row>
    <row r="5" ht="15.0" customHeight="1">
      <c r="A5" s="12" t="s">
        <v>32</v>
      </c>
      <c r="B5" s="19">
        <v>0.0</v>
      </c>
      <c r="C5" s="20"/>
      <c r="D5" s="20"/>
      <c r="E5" s="20"/>
      <c r="F5" s="16" t="s">
        <v>35</v>
      </c>
    </row>
    <row r="6" ht="15.0" customHeight="1">
      <c r="A6" s="12" t="s">
        <v>36</v>
      </c>
      <c r="B6" s="19">
        <f>Reverse</f>
        <v>29</v>
      </c>
      <c r="C6" s="20"/>
      <c r="D6" s="20"/>
      <c r="E6" s="20"/>
      <c r="F6" s="16" t="s">
        <v>38</v>
      </c>
    </row>
    <row r="7" ht="15.0" customHeight="1">
      <c r="A7" s="12" t="s">
        <v>40</v>
      </c>
      <c r="B7" s="19">
        <f>62+29</f>
        <v>91</v>
      </c>
      <c r="C7" s="20"/>
      <c r="D7" s="20"/>
      <c r="E7" s="20"/>
      <c r="F7" s="16" t="s">
        <v>41</v>
      </c>
    </row>
    <row r="8" ht="15.0" customHeight="1">
      <c r="A8" s="26" t="s">
        <v>42</v>
      </c>
      <c r="B8" s="28">
        <f>SUM(B4:B7)</f>
        <v>149</v>
      </c>
      <c r="C8" s="29"/>
      <c r="D8" s="29"/>
      <c r="E8" s="29"/>
      <c r="F8" s="30"/>
    </row>
    <row r="9">
      <c r="A9" s="5"/>
      <c r="B9" s="5"/>
      <c r="C9" s="5"/>
      <c r="D9" s="5"/>
      <c r="E9" s="5"/>
      <c r="F9" s="5"/>
    </row>
    <row r="10" ht="15.0" customHeight="1">
      <c r="A10" s="7" t="s">
        <v>45</v>
      </c>
      <c r="B10" s="10"/>
      <c r="C10" s="10"/>
      <c r="D10" s="10"/>
      <c r="E10" s="10"/>
      <c r="F10" s="10"/>
    </row>
    <row r="11" ht="23.25" customHeight="1">
      <c r="A11" s="13" t="s">
        <v>49</v>
      </c>
      <c r="B11" s="8" t="s">
        <v>52</v>
      </c>
      <c r="C11" s="8" t="s">
        <v>53</v>
      </c>
      <c r="D11" s="8" t="s">
        <v>55</v>
      </c>
      <c r="E11" s="8" t="s">
        <v>56</v>
      </c>
      <c r="F11" s="8" t="s">
        <v>58</v>
      </c>
    </row>
    <row r="12" ht="15.0" customHeight="1">
      <c r="A12" s="12" t="s">
        <v>59</v>
      </c>
      <c r="B12" s="32"/>
      <c r="C12" s="32"/>
      <c r="D12" s="32"/>
      <c r="E12" s="32"/>
      <c r="F12" s="16" t="s">
        <v>68</v>
      </c>
    </row>
    <row r="13" ht="15.0" customHeight="1">
      <c r="A13" s="12" t="s">
        <v>74</v>
      </c>
      <c r="B13" s="32">
        <v>0.0</v>
      </c>
      <c r="C13" s="32">
        <v>0.0</v>
      </c>
      <c r="D13" s="32">
        <v>0.0</v>
      </c>
      <c r="E13" s="32">
        <v>0.0</v>
      </c>
      <c r="F13" s="16" t="s">
        <v>68</v>
      </c>
    </row>
    <row r="14" ht="15.0" customHeight="1">
      <c r="A14" s="12" t="s">
        <v>79</v>
      </c>
      <c r="B14" s="32">
        <f>-Leg_Reverse</f>
        <v>-29</v>
      </c>
      <c r="C14" s="32">
        <v>0.0</v>
      </c>
      <c r="D14" s="32">
        <v>0.0</v>
      </c>
      <c r="E14" s="32">
        <f>-Leg_Reverse</f>
        <v>-29</v>
      </c>
      <c r="F14" s="16" t="s">
        <v>96</v>
      </c>
    </row>
    <row r="15" ht="15.0" customHeight="1">
      <c r="A15" s="12" t="s">
        <v>97</v>
      </c>
      <c r="B15" s="32">
        <f>-Leg_Other</f>
        <v>-91</v>
      </c>
      <c r="C15" s="32">
        <v>0.0</v>
      </c>
      <c r="D15" s="32">
        <v>0.0</v>
      </c>
      <c r="E15" s="32">
        <f>-Leg_Other</f>
        <v>-91</v>
      </c>
      <c r="F15" s="16" t="s">
        <v>104</v>
      </c>
    </row>
    <row r="16" ht="15.0" customHeight="1">
      <c r="A16" s="12" t="s">
        <v>106</v>
      </c>
      <c r="B16" s="32">
        <v>0.0</v>
      </c>
      <c r="C16" s="32">
        <f>-Route_Base</f>
        <v>-35</v>
      </c>
      <c r="D16" s="32">
        <f>-Route_High</f>
        <v>-45</v>
      </c>
      <c r="E16" s="32">
        <v>0.0</v>
      </c>
      <c r="F16" s="16" t="s">
        <v>115</v>
      </c>
    </row>
    <row r="17" ht="15.0" customHeight="1">
      <c r="A17" s="12" t="s">
        <v>117</v>
      </c>
      <c r="B17" s="32">
        <v>0.0</v>
      </c>
      <c r="C17" s="32"/>
      <c r="D17" s="32"/>
      <c r="E17" s="32">
        <v>0.0</v>
      </c>
      <c r="F17" s="16" t="s">
        <v>120</v>
      </c>
    </row>
    <row r="18" ht="15.0" customHeight="1">
      <c r="A18" s="12" t="s">
        <v>122</v>
      </c>
      <c r="B18" s="32">
        <v>0.0</v>
      </c>
      <c r="C18" s="32">
        <f>-Handling</f>
        <v>0</v>
      </c>
      <c r="D18" s="32">
        <f>-Handling</f>
        <v>0</v>
      </c>
      <c r="E18" s="32">
        <f>-Handling</f>
        <v>0</v>
      </c>
      <c r="F18" s="16" t="s">
        <v>133</v>
      </c>
    </row>
    <row r="19" ht="15.0" customHeight="1">
      <c r="A19" s="12" t="s">
        <v>136</v>
      </c>
      <c r="B19" s="32">
        <v>0.0</v>
      </c>
      <c r="C19" s="32">
        <f>-Hold_Day</f>
        <v>-2.276422764</v>
      </c>
      <c r="D19" s="32">
        <f>-Hold_Day</f>
        <v>-2.276422764</v>
      </c>
      <c r="E19" s="32">
        <f>-Hold_Day</f>
        <v>-2.276422764</v>
      </c>
      <c r="F19" s="16" t="s">
        <v>133</v>
      </c>
    </row>
    <row r="20" ht="15.0" customHeight="1">
      <c r="A20" s="26" t="s">
        <v>152</v>
      </c>
      <c r="B20" s="42">
        <f t="shared" ref="B20:E20" si="1">SUM(B12:B19)</f>
        <v>-120</v>
      </c>
      <c r="C20" s="42">
        <f t="shared" si="1"/>
        <v>-37.27642276</v>
      </c>
      <c r="D20" s="42">
        <f t="shared" si="1"/>
        <v>-47.27642276</v>
      </c>
      <c r="E20" s="42">
        <f t="shared" si="1"/>
        <v>-122.2764228</v>
      </c>
      <c r="F20" s="29"/>
    </row>
    <row r="21" ht="15.0" customHeight="1">
      <c r="A21" s="12" t="s">
        <v>109</v>
      </c>
      <c r="B21" s="32">
        <v>0.0</v>
      </c>
      <c r="C21" s="32">
        <f>AOV*Fee_Express</f>
        <v>15</v>
      </c>
      <c r="D21" s="32">
        <f>AOV*Fee_Express</f>
        <v>15</v>
      </c>
      <c r="E21" s="32">
        <v>0.0</v>
      </c>
      <c r="F21" s="16" t="s">
        <v>154</v>
      </c>
    </row>
    <row r="22" ht="15.0" customHeight="1">
      <c r="A22" s="12" t="s">
        <v>112</v>
      </c>
      <c r="B22" s="32">
        <v>0.0</v>
      </c>
      <c r="C22" s="32">
        <f>AOV*Fee_Seller</f>
        <v>29.997</v>
      </c>
      <c r="D22" s="32">
        <f>AOV*Fee_Seller</f>
        <v>29.997</v>
      </c>
      <c r="E22" s="32">
        <v>0.0</v>
      </c>
      <c r="F22" s="16" t="s">
        <v>154</v>
      </c>
    </row>
    <row r="23" ht="15.0" customHeight="1">
      <c r="A23" s="26" t="s">
        <v>156</v>
      </c>
      <c r="B23" s="42">
        <f t="shared" ref="B23:E23" si="2">B20+B21+B22</f>
        <v>-120</v>
      </c>
      <c r="C23" s="42">
        <f t="shared" si="2"/>
        <v>7.720577236</v>
      </c>
      <c r="D23" s="42">
        <f t="shared" si="2"/>
        <v>-2.279422764</v>
      </c>
      <c r="E23" s="42">
        <f t="shared" si="2"/>
        <v>-122.2764228</v>
      </c>
      <c r="F23" s="29"/>
    </row>
    <row r="24" ht="15.0" customHeight="1">
      <c r="A24" s="44" t="s">
        <v>158</v>
      </c>
      <c r="B24" s="46">
        <f t="shared" ref="B24:E24" si="3">B23-$B$23</f>
        <v>0</v>
      </c>
      <c r="C24" s="46">
        <f t="shared" si="3"/>
        <v>127.7205772</v>
      </c>
      <c r="D24" s="46">
        <f t="shared" si="3"/>
        <v>117.7205772</v>
      </c>
      <c r="E24" s="46">
        <f t="shared" si="3"/>
        <v>-2.276422764</v>
      </c>
      <c r="F24" s="20"/>
    </row>
    <row r="25" ht="15.75" customHeight="1">
      <c r="A25" s="5"/>
      <c r="B25" s="5"/>
      <c r="C25" s="5"/>
      <c r="D25" s="5"/>
      <c r="E25" s="5"/>
      <c r="F25" s="5"/>
    </row>
    <row r="26" ht="15.0" customHeight="1">
      <c r="A26" s="7" t="s">
        <v>159</v>
      </c>
      <c r="B26" s="10"/>
      <c r="C26" s="10"/>
      <c r="D26" s="10"/>
      <c r="E26" s="10"/>
      <c r="F26" s="10"/>
    </row>
    <row r="27" ht="15.0" customHeight="1">
      <c r="A27" s="13" t="s">
        <v>161</v>
      </c>
      <c r="B27" s="8" t="s">
        <v>162</v>
      </c>
      <c r="C27" s="8"/>
      <c r="D27" s="8"/>
      <c r="E27" s="8"/>
      <c r="F27" s="8" t="s">
        <v>163</v>
      </c>
    </row>
    <row r="28" ht="15.0" customHeight="1">
      <c r="A28" s="12" t="s">
        <v>164</v>
      </c>
      <c r="B28" s="32">
        <f>N_LMDC</f>
        <v>14</v>
      </c>
      <c r="C28" s="20"/>
      <c r="D28" s="20"/>
      <c r="E28" s="20"/>
      <c r="F28" s="16" t="s">
        <v>165</v>
      </c>
    </row>
    <row r="29" ht="15.0" customHeight="1">
      <c r="A29" s="12" t="s">
        <v>166</v>
      </c>
      <c r="B29" s="32">
        <f>Gateway*(AOV+AOV*Fee_Express)</f>
        <v>6.726</v>
      </c>
      <c r="C29" s="20"/>
      <c r="D29" s="20"/>
      <c r="E29" s="20"/>
      <c r="F29" s="16" t="s">
        <v>168</v>
      </c>
    </row>
    <row r="30" ht="15.0" customHeight="1">
      <c r="A30" s="12" t="s">
        <v>169</v>
      </c>
      <c r="B30" s="32">
        <f>Bag</f>
        <v>1.5</v>
      </c>
      <c r="C30" s="20"/>
      <c r="D30" s="20"/>
      <c r="E30" s="20"/>
      <c r="F30" s="16" t="s">
        <v>172</v>
      </c>
    </row>
    <row r="31" ht="15.0" customHeight="1">
      <c r="A31" s="12" t="s">
        <v>173</v>
      </c>
      <c r="B31" s="32">
        <f>Label</f>
        <v>1</v>
      </c>
      <c r="C31" s="20"/>
      <c r="D31" s="20"/>
      <c r="E31" s="20"/>
      <c r="F31" s="16" t="s">
        <v>172</v>
      </c>
    </row>
    <row r="32" ht="15.0" customHeight="1">
      <c r="A32" s="26" t="s">
        <v>175</v>
      </c>
      <c r="B32" s="42">
        <f>SUM(B28:B31)</f>
        <v>23.226</v>
      </c>
      <c r="C32" s="29"/>
      <c r="D32" s="29"/>
      <c r="E32" s="29"/>
      <c r="F32" s="29"/>
    </row>
    <row r="33" ht="15.0" customHeight="1">
      <c r="A33" s="12" t="s">
        <v>176</v>
      </c>
      <c r="B33" s="32">
        <f>Route_Base-Route_Sourced</f>
        <v>11.774</v>
      </c>
      <c r="C33" s="32">
        <f>Route_High-Route_Sourced</f>
        <v>21.774</v>
      </c>
      <c r="D33" s="20"/>
      <c r="E33" s="20"/>
      <c r="F33" s="16" t="s">
        <v>177</v>
      </c>
    </row>
    <row r="34" ht="23.25" customHeight="1">
      <c r="A34" s="12" t="s">
        <v>178</v>
      </c>
      <c r="B34" s="49">
        <f>(Route_Base-Route_Sourced)/(Wage/(26*8*60))</f>
        <v>9.795968</v>
      </c>
      <c r="C34" s="49">
        <f>(Route_High-Route_Sourced)/(Wage/(26*8*60))</f>
        <v>18.115968</v>
      </c>
      <c r="D34" s="20"/>
      <c r="E34" s="20"/>
      <c r="F34" s="16" t="s">
        <v>180</v>
      </c>
    </row>
    <row r="35" ht="15.75" customHeight="1">
      <c r="A35" s="5"/>
      <c r="B35" s="5"/>
      <c r="C35" s="5"/>
      <c r="D35" s="5"/>
      <c r="E35" s="5"/>
      <c r="F35" s="5"/>
    </row>
    <row r="36" ht="15.0" customHeight="1">
      <c r="A36" s="7" t="s">
        <v>181</v>
      </c>
      <c r="B36" s="10"/>
      <c r="C36" s="10"/>
      <c r="D36" s="10"/>
      <c r="E36" s="10"/>
      <c r="F36" s="10"/>
    </row>
    <row r="37" ht="23.25" customHeight="1">
      <c r="A37" s="13" t="s">
        <v>182</v>
      </c>
      <c r="B37" s="8" t="s">
        <v>183</v>
      </c>
      <c r="C37" s="8" t="s">
        <v>184</v>
      </c>
      <c r="D37" s="8" t="s">
        <v>185</v>
      </c>
      <c r="E37" s="8" t="s">
        <v>186</v>
      </c>
      <c r="F37" s="8" t="s">
        <v>187</v>
      </c>
    </row>
    <row r="38" ht="15.0" customHeight="1">
      <c r="A38" s="12" t="s">
        <v>188</v>
      </c>
      <c r="B38" s="32">
        <f t="shared" ref="B38:C38" si="4">0</f>
        <v>0</v>
      </c>
      <c r="C38" s="32">
        <f t="shared" si="4"/>
        <v>0</v>
      </c>
      <c r="D38" s="18">
        <f>Save_Sold_Base+Remote_Uplift-B38-C38</f>
        <v>134.2205772</v>
      </c>
      <c r="E38" s="18">
        <f>Save_Sold_High+Remote_Uplift-B38-C38</f>
        <v>124.2205772</v>
      </c>
      <c r="F38" s="12" t="str">
        <f t="shared" ref="F38:F40" si="5">IF(ROUND(E38,2)&gt;0,"Yes",IF(D38&gt;0,"Base case only (break-even at ₹45)","No — return to seller"))</f>
        <v>Yes</v>
      </c>
    </row>
    <row r="39" ht="15.0" customHeight="1">
      <c r="A39" s="12" t="s">
        <v>193</v>
      </c>
      <c r="B39" s="32">
        <f>LM_Remote-N_LMDC</f>
        <v>11</v>
      </c>
      <c r="C39" s="32">
        <f>N_RLH+N_LMSC+N_RLH</f>
        <v>15</v>
      </c>
      <c r="D39" s="18">
        <f>Save_Sold_Base+Remote_Uplift-B39-C39</f>
        <v>108.2205772</v>
      </c>
      <c r="E39" s="18">
        <f>Save_Sold_High+Remote_Uplift-B39-C39</f>
        <v>98.22057724</v>
      </c>
      <c r="F39" s="12" t="str">
        <f t="shared" si="5"/>
        <v>Yes</v>
      </c>
    </row>
    <row r="40" ht="15.0" customHeight="1">
      <c r="A40" s="12" t="s">
        <v>205</v>
      </c>
      <c r="B40" s="32">
        <f>LM_Remote-N_LMDC</f>
        <v>11</v>
      </c>
      <c r="C40" s="32">
        <f>N_RLH+N_LMSC+N_NLH+N_LMSC+N_RLH</f>
        <v>28</v>
      </c>
      <c r="D40" s="18">
        <f>Save_Sold_Base+Remote_Uplift-B40-C40</f>
        <v>95.22057724</v>
      </c>
      <c r="E40" s="18">
        <f>Save_Sold_High+Remote_Uplift-B40-C40</f>
        <v>85.22057724</v>
      </c>
      <c r="F40" s="12" t="str">
        <f t="shared" si="5"/>
        <v>Yes</v>
      </c>
    </row>
    <row r="41" ht="23.25" customHeight="1">
      <c r="A41" s="26" t="s">
        <v>209</v>
      </c>
      <c r="B41" s="42">
        <f>TierB_Share*(TierB_Extra+TierB_Transfer)</f>
        <v>6.5</v>
      </c>
      <c r="C41" s="29"/>
      <c r="D41" s="29"/>
      <c r="E41" s="29"/>
      <c r="F41" s="30" t="s">
        <v>212</v>
      </c>
    </row>
    <row r="42" ht="15.75" customHeight="1">
      <c r="A42" s="5"/>
      <c r="B42" s="5"/>
      <c r="C42" s="5"/>
      <c r="D42" s="5"/>
      <c r="E42" s="5"/>
      <c r="F42" s="5"/>
    </row>
    <row r="43" ht="15.75" customHeight="1">
      <c r="A43" s="5"/>
      <c r="B43" s="5"/>
      <c r="C43" s="5"/>
      <c r="D43" s="5"/>
      <c r="E43" s="5"/>
      <c r="F43" s="5"/>
    </row>
    <row r="44" ht="15.75" customHeight="1">
      <c r="A44" s="5"/>
      <c r="B44" s="5"/>
      <c r="C44" s="5"/>
      <c r="D44" s="5"/>
      <c r="E44" s="5"/>
      <c r="F44" s="5"/>
    </row>
    <row r="45" ht="15.75" customHeight="1">
      <c r="A45" s="5"/>
      <c r="B45" s="5"/>
      <c r="C45" s="5"/>
      <c r="D45" s="5"/>
      <c r="E45" s="5"/>
      <c r="F45" s="5"/>
    </row>
    <row r="46" ht="15.75" customHeight="1">
      <c r="A46" s="5"/>
      <c r="B46" s="5"/>
      <c r="C46" s="5"/>
      <c r="D46" s="5"/>
      <c r="E46" s="5"/>
      <c r="F46" s="5"/>
    </row>
    <row r="47" ht="15.75" customHeight="1">
      <c r="A47" s="5"/>
      <c r="B47" s="5"/>
      <c r="C47" s="5"/>
      <c r="D47" s="5"/>
      <c r="E47" s="5"/>
      <c r="F47" s="5"/>
    </row>
    <row r="48" ht="15.75" customHeight="1">
      <c r="A48" s="5"/>
      <c r="B48" s="5"/>
      <c r="C48" s="5"/>
      <c r="D48" s="5"/>
      <c r="E48" s="5"/>
      <c r="F48" s="5"/>
    </row>
    <row r="49" ht="15.75" customHeight="1">
      <c r="A49" s="5"/>
      <c r="B49" s="5"/>
      <c r="C49" s="5"/>
      <c r="D49" s="5"/>
      <c r="E49" s="5"/>
      <c r="F49" s="5"/>
    </row>
    <row r="50" ht="15.75" customHeight="1">
      <c r="A50" s="5"/>
      <c r="B50" s="5"/>
      <c r="C50" s="5"/>
      <c r="D50" s="5"/>
      <c r="E50" s="5"/>
      <c r="F50" s="5"/>
    </row>
    <row r="51" ht="15.75" customHeight="1">
      <c r="A51" s="5"/>
      <c r="B51" s="5"/>
      <c r="C51" s="5"/>
      <c r="D51" s="5"/>
      <c r="E51" s="5"/>
      <c r="F51" s="5"/>
    </row>
    <row r="52" ht="15.75" customHeight="1">
      <c r="A52" s="5"/>
      <c r="B52" s="5"/>
      <c r="C52" s="5"/>
      <c r="D52" s="5"/>
      <c r="E52" s="5"/>
      <c r="F52" s="5"/>
    </row>
    <row r="53" ht="15.75" customHeight="1">
      <c r="A53" s="5"/>
      <c r="B53" s="5"/>
      <c r="C53" s="5"/>
      <c r="D53" s="5"/>
      <c r="E53" s="5"/>
      <c r="F53" s="5"/>
    </row>
    <row r="54" ht="15.75" customHeight="1">
      <c r="A54" s="5"/>
      <c r="B54" s="5"/>
      <c r="C54" s="5"/>
      <c r="D54" s="5"/>
      <c r="E54" s="5"/>
      <c r="F54" s="5"/>
    </row>
    <row r="55" ht="15.75" customHeight="1">
      <c r="A55" s="5"/>
      <c r="B55" s="5"/>
      <c r="C55" s="5"/>
      <c r="D55" s="5"/>
      <c r="E55" s="5"/>
      <c r="F55" s="5"/>
    </row>
    <row r="56" ht="15.75" customHeight="1">
      <c r="A56" s="5"/>
      <c r="B56" s="5"/>
      <c r="C56" s="5"/>
      <c r="D56" s="5"/>
      <c r="E56" s="5"/>
      <c r="F56" s="5"/>
    </row>
    <row r="57" ht="15.75" customHeight="1">
      <c r="A57" s="5"/>
      <c r="B57" s="5"/>
      <c r="C57" s="5"/>
      <c r="D57" s="5"/>
      <c r="E57" s="5"/>
      <c r="F57" s="5"/>
    </row>
    <row r="58" ht="15.75" customHeight="1">
      <c r="A58" s="5"/>
      <c r="B58" s="5"/>
      <c r="C58" s="5"/>
      <c r="D58" s="5"/>
      <c r="E58" s="5"/>
      <c r="F58" s="5"/>
    </row>
    <row r="59" ht="15.75" customHeight="1">
      <c r="A59" s="5"/>
      <c r="B59" s="5"/>
      <c r="C59" s="5"/>
      <c r="D59" s="5"/>
      <c r="E59" s="5"/>
      <c r="F59" s="5"/>
    </row>
    <row r="60" ht="15.75" customHeight="1">
      <c r="A60" s="5"/>
      <c r="B60" s="5"/>
      <c r="C60" s="5"/>
      <c r="D60" s="5"/>
      <c r="E60" s="5"/>
      <c r="F60" s="5"/>
    </row>
    <row r="61" ht="15.75" customHeight="1">
      <c r="A61" s="5"/>
      <c r="B61" s="5"/>
      <c r="C61" s="5"/>
      <c r="D61" s="5"/>
      <c r="E61" s="5"/>
      <c r="F61" s="5"/>
    </row>
    <row r="62" ht="15.75" customHeight="1">
      <c r="A62" s="5"/>
      <c r="B62" s="5"/>
      <c r="C62" s="5"/>
      <c r="D62" s="5"/>
      <c r="E62" s="5"/>
      <c r="F62" s="5"/>
    </row>
    <row r="63" ht="15.75" customHeight="1">
      <c r="A63" s="5"/>
      <c r="B63" s="5"/>
      <c r="C63" s="5"/>
      <c r="D63" s="5"/>
      <c r="E63" s="5"/>
      <c r="F63" s="5"/>
    </row>
    <row r="64" ht="15.75" customHeight="1">
      <c r="A64" s="5"/>
      <c r="B64" s="5"/>
      <c r="C64" s="5"/>
      <c r="D64" s="5"/>
      <c r="E64" s="5"/>
      <c r="F64" s="5"/>
    </row>
    <row r="65" ht="15.75" customHeight="1">
      <c r="A65" s="5"/>
      <c r="B65" s="5"/>
      <c r="C65" s="5"/>
      <c r="D65" s="5"/>
      <c r="E65" s="5"/>
      <c r="F65" s="5"/>
    </row>
    <row r="66" ht="15.75" customHeight="1">
      <c r="A66" s="5"/>
      <c r="B66" s="5"/>
      <c r="C66" s="5"/>
      <c r="D66" s="5"/>
      <c r="E66" s="5"/>
      <c r="F66" s="5"/>
    </row>
    <row r="67" ht="15.75" customHeight="1">
      <c r="A67" s="5"/>
      <c r="B67" s="5"/>
      <c r="C67" s="5"/>
      <c r="D67" s="5"/>
      <c r="E67" s="5"/>
      <c r="F67" s="5"/>
    </row>
    <row r="68" ht="15.75" customHeight="1">
      <c r="A68" s="5"/>
      <c r="B68" s="5"/>
      <c r="C68" s="5"/>
      <c r="D68" s="5"/>
      <c r="E68" s="5"/>
      <c r="F68" s="5"/>
    </row>
    <row r="69" ht="15.75" customHeight="1">
      <c r="A69" s="5"/>
      <c r="B69" s="5"/>
      <c r="C69" s="5"/>
      <c r="D69" s="5"/>
      <c r="E69" s="5"/>
      <c r="F69" s="5"/>
    </row>
    <row r="70" ht="15.75" customHeight="1">
      <c r="A70" s="5"/>
      <c r="B70" s="5"/>
      <c r="C70" s="5"/>
      <c r="D70" s="5"/>
      <c r="E70" s="5"/>
      <c r="F70" s="5"/>
    </row>
    <row r="71" ht="15.75" customHeight="1">
      <c r="A71" s="5"/>
      <c r="B71" s="5"/>
      <c r="C71" s="5"/>
      <c r="D71" s="5"/>
      <c r="E71" s="5"/>
      <c r="F71" s="5"/>
    </row>
    <row r="72" ht="15.75" customHeight="1">
      <c r="A72" s="5"/>
      <c r="B72" s="5"/>
      <c r="C72" s="5"/>
      <c r="D72" s="5"/>
      <c r="E72" s="5"/>
      <c r="F72" s="5"/>
    </row>
    <row r="73" ht="15.75" customHeight="1">
      <c r="A73" s="5"/>
      <c r="B73" s="5"/>
      <c r="C73" s="5"/>
      <c r="D73" s="5"/>
      <c r="E73" s="5"/>
      <c r="F73" s="5"/>
    </row>
    <row r="74" ht="15.75" customHeight="1">
      <c r="A74" s="5"/>
      <c r="B74" s="5"/>
      <c r="C74" s="5"/>
      <c r="D74" s="5"/>
      <c r="E74" s="5"/>
      <c r="F74" s="5"/>
    </row>
    <row r="75" ht="15.75" customHeight="1">
      <c r="A75" s="5"/>
      <c r="B75" s="5"/>
      <c r="C75" s="5"/>
      <c r="D75" s="5"/>
      <c r="E75" s="5"/>
      <c r="F75" s="5"/>
    </row>
    <row r="76" ht="15.75" customHeight="1">
      <c r="A76" s="5"/>
      <c r="B76" s="5"/>
      <c r="C76" s="5"/>
      <c r="D76" s="5"/>
      <c r="E76" s="5"/>
      <c r="F76" s="5"/>
    </row>
    <row r="77" ht="15.75" customHeight="1">
      <c r="A77" s="5"/>
      <c r="B77" s="5"/>
      <c r="C77" s="5"/>
      <c r="D77" s="5"/>
      <c r="E77" s="5"/>
      <c r="F77" s="5"/>
    </row>
    <row r="78" ht="15.75" customHeight="1">
      <c r="A78" s="5"/>
      <c r="B78" s="5"/>
      <c r="C78" s="5"/>
      <c r="D78" s="5"/>
      <c r="E78" s="5"/>
      <c r="F78" s="5"/>
    </row>
    <row r="79" ht="15.75" customHeight="1">
      <c r="A79" s="5"/>
      <c r="B79" s="5"/>
      <c r="C79" s="5"/>
      <c r="D79" s="5"/>
      <c r="E79" s="5"/>
      <c r="F79" s="5"/>
    </row>
    <row r="80" ht="15.75" customHeight="1">
      <c r="A80" s="5"/>
      <c r="B80" s="5"/>
      <c r="C80" s="5"/>
      <c r="D80" s="5"/>
      <c r="E80" s="5"/>
      <c r="F80" s="5"/>
    </row>
    <row r="81" ht="15.75" customHeight="1">
      <c r="A81" s="5"/>
      <c r="B81" s="5"/>
      <c r="C81" s="5"/>
      <c r="D81" s="5"/>
      <c r="E81" s="5"/>
      <c r="F81" s="5"/>
    </row>
    <row r="82" ht="15.75" customHeight="1">
      <c r="A82" s="5"/>
      <c r="B82" s="5"/>
      <c r="C82" s="5"/>
      <c r="D82" s="5"/>
      <c r="E82" s="5"/>
      <c r="F82" s="5"/>
    </row>
    <row r="83" ht="15.75" customHeight="1">
      <c r="A83" s="5"/>
      <c r="B83" s="5"/>
      <c r="C83" s="5"/>
      <c r="D83" s="5"/>
      <c r="E83" s="5"/>
      <c r="F83" s="5"/>
    </row>
    <row r="84" ht="15.75" customHeight="1">
      <c r="A84" s="5"/>
      <c r="B84" s="5"/>
      <c r="C84" s="5"/>
      <c r="D84" s="5"/>
      <c r="E84" s="5"/>
      <c r="F84" s="5"/>
    </row>
    <row r="85" ht="15.75" customHeight="1">
      <c r="A85" s="5"/>
      <c r="B85" s="5"/>
      <c r="C85" s="5"/>
      <c r="D85" s="5"/>
      <c r="E85" s="5"/>
      <c r="F85" s="5"/>
    </row>
    <row r="86" ht="15.75" customHeight="1">
      <c r="A86" s="5"/>
      <c r="B86" s="5"/>
      <c r="C86" s="5"/>
      <c r="D86" s="5"/>
      <c r="E86" s="5"/>
      <c r="F86" s="5"/>
    </row>
    <row r="87" ht="15.75" customHeight="1">
      <c r="A87" s="5"/>
      <c r="B87" s="5"/>
      <c r="C87" s="5"/>
      <c r="D87" s="5"/>
      <c r="E87" s="5"/>
      <c r="F87" s="5"/>
    </row>
    <row r="88" ht="15.75" customHeight="1">
      <c r="A88" s="5"/>
      <c r="B88" s="5"/>
      <c r="C88" s="5"/>
      <c r="D88" s="5"/>
      <c r="E88" s="5"/>
      <c r="F88" s="5"/>
    </row>
    <row r="89" ht="15.75" customHeight="1">
      <c r="A89" s="5"/>
      <c r="B89" s="5"/>
      <c r="C89" s="5"/>
      <c r="D89" s="5"/>
      <c r="E89" s="5"/>
      <c r="F89" s="5"/>
    </row>
    <row r="90" ht="15.75" customHeight="1">
      <c r="A90" s="5"/>
      <c r="B90" s="5"/>
      <c r="C90" s="5"/>
      <c r="D90" s="5"/>
      <c r="E90" s="5"/>
      <c r="F90" s="5"/>
    </row>
    <row r="91" ht="15.75" customHeight="1">
      <c r="A91" s="5"/>
      <c r="B91" s="5"/>
      <c r="C91" s="5"/>
      <c r="D91" s="5"/>
      <c r="E91" s="5"/>
      <c r="F91" s="5"/>
    </row>
    <row r="92" ht="15.75" customHeight="1">
      <c r="A92" s="5"/>
      <c r="B92" s="5"/>
      <c r="C92" s="5"/>
      <c r="D92" s="5"/>
      <c r="E92" s="5"/>
      <c r="F92" s="5"/>
    </row>
    <row r="93" ht="15.75" customHeight="1">
      <c r="A93" s="5"/>
      <c r="B93" s="5"/>
      <c r="C93" s="5"/>
      <c r="D93" s="5"/>
      <c r="E93" s="5"/>
      <c r="F93" s="5"/>
    </row>
    <row r="94" ht="15.75" customHeight="1">
      <c r="A94" s="5"/>
      <c r="B94" s="5"/>
      <c r="C94" s="5"/>
      <c r="D94" s="5"/>
      <c r="E94" s="5"/>
      <c r="F94" s="5"/>
    </row>
    <row r="95" ht="15.75" customHeight="1">
      <c r="A95" s="5"/>
      <c r="B95" s="5"/>
      <c r="C95" s="5"/>
      <c r="D95" s="5"/>
      <c r="E95" s="5"/>
      <c r="F95" s="5"/>
    </row>
    <row r="96" ht="15.75" customHeight="1">
      <c r="A96" s="5"/>
      <c r="B96" s="5"/>
      <c r="C96" s="5"/>
      <c r="D96" s="5"/>
      <c r="E96" s="5"/>
      <c r="F96" s="5"/>
    </row>
    <row r="97" ht="15.75" customHeight="1">
      <c r="A97" s="5"/>
      <c r="B97" s="5"/>
      <c r="C97" s="5"/>
      <c r="D97" s="5"/>
      <c r="E97" s="5"/>
      <c r="F97" s="5"/>
    </row>
    <row r="98" ht="15.75" customHeight="1">
      <c r="A98" s="5"/>
      <c r="B98" s="5"/>
      <c r="C98" s="5"/>
      <c r="D98" s="5"/>
      <c r="E98" s="5"/>
      <c r="F98" s="5"/>
    </row>
    <row r="99" ht="15.75" customHeight="1">
      <c r="A99" s="5"/>
      <c r="B99" s="5"/>
      <c r="C99" s="5"/>
      <c r="D99" s="5"/>
      <c r="E99" s="5"/>
      <c r="F99" s="5"/>
    </row>
    <row r="100" ht="15.75" customHeight="1">
      <c r="A100" s="5"/>
      <c r="B100" s="5"/>
      <c r="C100" s="5"/>
      <c r="D100" s="5"/>
      <c r="E100" s="5"/>
      <c r="F100" s="5"/>
    </row>
    <row r="101" ht="15.75" customHeight="1">
      <c r="A101" s="5"/>
      <c r="B101" s="5"/>
      <c r="C101" s="5"/>
      <c r="D101" s="5"/>
      <c r="E101" s="5"/>
      <c r="F101" s="5"/>
    </row>
    <row r="102" ht="15.75" customHeight="1">
      <c r="A102" s="5"/>
      <c r="B102" s="5"/>
      <c r="C102" s="5"/>
      <c r="D102" s="5"/>
      <c r="E102" s="5"/>
      <c r="F102" s="5"/>
    </row>
    <row r="103" ht="15.75" customHeight="1">
      <c r="A103" s="5"/>
      <c r="B103" s="5"/>
      <c r="C103" s="5"/>
      <c r="D103" s="5"/>
      <c r="E103" s="5"/>
      <c r="F103" s="5"/>
    </row>
    <row r="104" ht="15.75" customHeight="1">
      <c r="A104" s="5"/>
      <c r="B104" s="5"/>
      <c r="C104" s="5"/>
      <c r="D104" s="5"/>
      <c r="E104" s="5"/>
      <c r="F104" s="5"/>
    </row>
    <row r="105" ht="15.75" customHeight="1">
      <c r="A105" s="5"/>
      <c r="B105" s="5"/>
      <c r="C105" s="5"/>
      <c r="D105" s="5"/>
      <c r="E105" s="5"/>
      <c r="F105" s="5"/>
    </row>
    <row r="106" ht="15.75" customHeight="1">
      <c r="A106" s="5"/>
      <c r="B106" s="5"/>
      <c r="C106" s="5"/>
      <c r="D106" s="5"/>
      <c r="E106" s="5"/>
      <c r="F106" s="5"/>
    </row>
    <row r="107" ht="15.75" customHeight="1">
      <c r="A107" s="5"/>
      <c r="B107" s="5"/>
      <c r="C107" s="5"/>
      <c r="D107" s="5"/>
      <c r="E107" s="5"/>
      <c r="F107" s="5"/>
    </row>
    <row r="108" ht="15.75" customHeight="1">
      <c r="A108" s="5"/>
      <c r="B108" s="5"/>
      <c r="C108" s="5"/>
      <c r="D108" s="5"/>
      <c r="E108" s="5"/>
      <c r="F108" s="5"/>
    </row>
    <row r="109" ht="15.75" customHeight="1">
      <c r="A109" s="5"/>
      <c r="B109" s="5"/>
      <c r="C109" s="5"/>
      <c r="D109" s="5"/>
      <c r="E109" s="5"/>
      <c r="F109" s="5"/>
    </row>
    <row r="110" ht="15.75" customHeight="1">
      <c r="A110" s="5"/>
      <c r="B110" s="5"/>
      <c r="C110" s="5"/>
      <c r="D110" s="5"/>
      <c r="E110" s="5"/>
      <c r="F110" s="5"/>
    </row>
    <row r="111" ht="15.75" customHeight="1">
      <c r="A111" s="5"/>
      <c r="B111" s="5"/>
      <c r="C111" s="5"/>
      <c r="D111" s="5"/>
      <c r="E111" s="5"/>
      <c r="F111" s="5"/>
    </row>
    <row r="112" ht="15.75" customHeight="1">
      <c r="A112" s="5"/>
      <c r="B112" s="5"/>
      <c r="C112" s="5"/>
      <c r="D112" s="5"/>
      <c r="E112" s="5"/>
      <c r="F112" s="5"/>
    </row>
    <row r="113" ht="15.75" customHeight="1">
      <c r="A113" s="5"/>
      <c r="B113" s="5"/>
      <c r="C113" s="5"/>
      <c r="D113" s="5"/>
      <c r="E113" s="5"/>
      <c r="F113" s="5"/>
    </row>
    <row r="114" ht="15.75" customHeight="1">
      <c r="A114" s="5"/>
      <c r="B114" s="5"/>
      <c r="C114" s="5"/>
      <c r="D114" s="5"/>
      <c r="E114" s="5"/>
      <c r="F114" s="5"/>
    </row>
    <row r="115" ht="15.75" customHeight="1">
      <c r="A115" s="5"/>
      <c r="B115" s="5"/>
      <c r="C115" s="5"/>
      <c r="D115" s="5"/>
      <c r="E115" s="5"/>
      <c r="F115" s="5"/>
    </row>
    <row r="116" ht="15.75" customHeight="1">
      <c r="A116" s="5"/>
      <c r="B116" s="5"/>
      <c r="C116" s="5"/>
      <c r="D116" s="5"/>
      <c r="E116" s="5"/>
      <c r="F116" s="5"/>
    </row>
    <row r="117" ht="15.75" customHeight="1">
      <c r="A117" s="5"/>
      <c r="B117" s="5"/>
      <c r="C117" s="5"/>
      <c r="D117" s="5"/>
      <c r="E117" s="5"/>
      <c r="F117" s="5"/>
    </row>
    <row r="118" ht="15.75" customHeight="1">
      <c r="A118" s="5"/>
      <c r="B118" s="5"/>
      <c r="C118" s="5"/>
      <c r="D118" s="5"/>
      <c r="E118" s="5"/>
      <c r="F118" s="5"/>
    </row>
    <row r="119" ht="15.75" customHeight="1">
      <c r="A119" s="5"/>
      <c r="B119" s="5"/>
      <c r="C119" s="5"/>
      <c r="D119" s="5"/>
      <c r="E119" s="5"/>
      <c r="F119" s="5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5"/>
      <c r="B121" s="5"/>
      <c r="C121" s="5"/>
      <c r="D121" s="5"/>
      <c r="E121" s="5"/>
      <c r="F121" s="5"/>
    </row>
    <row r="122" ht="15.75" customHeight="1">
      <c r="A122" s="5"/>
      <c r="B122" s="5"/>
      <c r="C122" s="5"/>
      <c r="D122" s="5"/>
      <c r="E122" s="5"/>
      <c r="F122" s="5"/>
    </row>
    <row r="123" ht="15.75" customHeight="1">
      <c r="A123" s="5"/>
      <c r="B123" s="5"/>
      <c r="C123" s="5"/>
      <c r="D123" s="5"/>
      <c r="E123" s="5"/>
      <c r="F123" s="5"/>
    </row>
    <row r="124" ht="15.75" customHeight="1">
      <c r="A124" s="5"/>
      <c r="B124" s="5"/>
      <c r="C124" s="5"/>
      <c r="D124" s="5"/>
      <c r="E124" s="5"/>
      <c r="F124" s="5"/>
    </row>
    <row r="125" ht="15.75" customHeight="1">
      <c r="A125" s="5"/>
      <c r="B125" s="5"/>
      <c r="C125" s="5"/>
      <c r="D125" s="5"/>
      <c r="E125" s="5"/>
      <c r="F125" s="5"/>
    </row>
    <row r="126" ht="15.75" customHeight="1">
      <c r="A126" s="5"/>
      <c r="B126" s="5"/>
      <c r="C126" s="5"/>
      <c r="D126" s="5"/>
      <c r="E126" s="5"/>
      <c r="F126" s="5"/>
    </row>
    <row r="127" ht="15.75" customHeight="1">
      <c r="A127" s="5"/>
      <c r="B127" s="5"/>
      <c r="C127" s="5"/>
      <c r="D127" s="5"/>
      <c r="E127" s="5"/>
      <c r="F127" s="5"/>
    </row>
    <row r="128" ht="15.75" customHeight="1">
      <c r="A128" s="5"/>
      <c r="B128" s="5"/>
      <c r="C128" s="5"/>
      <c r="D128" s="5"/>
      <c r="E128" s="5"/>
      <c r="F128" s="5"/>
    </row>
    <row r="129" ht="15.75" customHeight="1">
      <c r="A129" s="5"/>
      <c r="B129" s="5"/>
      <c r="C129" s="5"/>
      <c r="D129" s="5"/>
      <c r="E129" s="5"/>
      <c r="F129" s="5"/>
    </row>
    <row r="130" ht="15.75" customHeight="1">
      <c r="A130" s="5"/>
      <c r="B130" s="5"/>
      <c r="C130" s="5"/>
      <c r="D130" s="5"/>
      <c r="E130" s="5"/>
      <c r="F130" s="5"/>
    </row>
    <row r="131" ht="15.75" customHeight="1">
      <c r="A131" s="5"/>
      <c r="B131" s="5"/>
      <c r="C131" s="5"/>
      <c r="D131" s="5"/>
      <c r="E131" s="5"/>
      <c r="F131" s="5"/>
    </row>
    <row r="132" ht="15.75" customHeight="1">
      <c r="A132" s="5"/>
      <c r="B132" s="5"/>
      <c r="C132" s="5"/>
      <c r="D132" s="5"/>
      <c r="E132" s="5"/>
      <c r="F132" s="5"/>
    </row>
    <row r="133" ht="15.75" customHeight="1">
      <c r="A133" s="5"/>
      <c r="B133" s="5"/>
      <c r="C133" s="5"/>
      <c r="D133" s="5"/>
      <c r="E133" s="5"/>
      <c r="F133" s="5"/>
    </row>
    <row r="134" ht="15.75" customHeight="1">
      <c r="A134" s="5"/>
      <c r="B134" s="5"/>
      <c r="C134" s="5"/>
      <c r="D134" s="5"/>
      <c r="E134" s="5"/>
      <c r="F134" s="5"/>
    </row>
    <row r="135" ht="15.75" customHeight="1">
      <c r="A135" s="5"/>
      <c r="B135" s="5"/>
      <c r="C135" s="5"/>
      <c r="D135" s="5"/>
      <c r="E135" s="5"/>
      <c r="F135" s="5"/>
    </row>
    <row r="136" ht="15.75" customHeight="1">
      <c r="A136" s="5"/>
      <c r="B136" s="5"/>
      <c r="C136" s="5"/>
      <c r="D136" s="5"/>
      <c r="E136" s="5"/>
      <c r="F136" s="5"/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F2"/>
    <mergeCell ref="A10:F10"/>
    <mergeCell ref="A26:F26"/>
    <mergeCell ref="A36:F36"/>
  </mergeCells>
  <printOptions/>
  <pageMargins bottom="1.0" footer="0.0" header="0.0" left="0.75" right="0.7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597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3.71"/>
    <col customWidth="1" min="2" max="2" width="14.0"/>
    <col customWidth="1" min="3" max="3" width="15.0"/>
    <col customWidth="1" min="4" max="4" width="18.43"/>
    <col customWidth="1" min="5" max="9" width="15.0"/>
    <col customWidth="1" min="10" max="10" width="19.29"/>
    <col customWidth="1" min="11" max="11" width="10.86"/>
    <col customWidth="1" min="12" max="12" width="20.29"/>
  </cols>
  <sheetData>
    <row r="1" ht="19.5" customHeight="1">
      <c r="A1" s="1" t="s">
        <v>247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ht="15.0" customHeight="1">
      <c r="A2" s="7" t="s">
        <v>248</v>
      </c>
      <c r="B2" s="10"/>
      <c r="C2" s="10"/>
      <c r="D2" s="10"/>
      <c r="E2" s="10"/>
      <c r="F2" s="10"/>
      <c r="G2" s="10"/>
      <c r="H2" s="10"/>
      <c r="I2" s="5"/>
      <c r="J2" s="5"/>
      <c r="K2" s="5"/>
      <c r="L2" s="5"/>
    </row>
    <row r="3" ht="15.0" customHeight="1">
      <c r="A3" s="12" t="s">
        <v>249</v>
      </c>
      <c r="B3" s="17">
        <f>COD_Share*RTO_COD+(1-COD_Share)*RTO_Prepaid</f>
        <v>0.17</v>
      </c>
      <c r="C3" s="67" t="s">
        <v>250</v>
      </c>
      <c r="D3" s="4"/>
      <c r="E3" s="4"/>
      <c r="F3" s="4"/>
      <c r="G3" s="4"/>
      <c r="H3" s="6"/>
      <c r="I3" s="5"/>
      <c r="J3" s="5"/>
      <c r="K3" s="5"/>
      <c r="L3" s="5"/>
    </row>
    <row r="4" ht="15.0" customHeight="1">
      <c r="A4" s="12" t="s">
        <v>251</v>
      </c>
      <c r="B4" s="14">
        <f>Orders*RTO_Rate</f>
        <v>714000</v>
      </c>
      <c r="C4" s="67" t="s">
        <v>252</v>
      </c>
      <c r="D4" s="4"/>
      <c r="E4" s="4"/>
      <c r="F4" s="4"/>
      <c r="G4" s="4"/>
      <c r="H4" s="6"/>
      <c r="I4" s="5"/>
      <c r="J4" s="5"/>
      <c r="K4" s="5"/>
      <c r="L4" s="5"/>
    </row>
    <row r="5" ht="15.0" customHeight="1">
      <c r="A5" s="12" t="s">
        <v>253</v>
      </c>
      <c r="B5" s="14">
        <f>RTO_Day*Eligible</f>
        <v>642600</v>
      </c>
      <c r="C5" s="67" t="s">
        <v>254</v>
      </c>
      <c r="D5" s="4"/>
      <c r="E5" s="4"/>
      <c r="F5" s="4"/>
      <c r="G5" s="4"/>
      <c r="H5" s="6"/>
      <c r="I5" s="5"/>
      <c r="J5" s="5"/>
      <c r="K5" s="5"/>
      <c r="L5" s="5"/>
    </row>
    <row r="6" ht="15.0" customHeight="1">
      <c r="A6" s="12" t="s">
        <v>255</v>
      </c>
      <c r="B6" s="14">
        <f>Hubs*Shelf/7</f>
        <v>395357.1429</v>
      </c>
      <c r="C6" s="67" t="s">
        <v>256</v>
      </c>
      <c r="D6" s="4"/>
      <c r="E6" s="4"/>
      <c r="F6" s="4"/>
      <c r="G6" s="4"/>
      <c r="H6" s="6"/>
      <c r="I6" s="5"/>
      <c r="J6" s="5"/>
      <c r="K6" s="5"/>
      <c r="L6" s="5"/>
    </row>
    <row r="7" ht="15.0" customHeight="1">
      <c r="A7" s="12" t="s">
        <v>189</v>
      </c>
      <c r="B7" s="51">
        <f>MIN(Elig_Day,Cap_Day)</f>
        <v>395357.1429</v>
      </c>
      <c r="C7" s="67" t="s">
        <v>257</v>
      </c>
      <c r="D7" s="4"/>
      <c r="E7" s="4"/>
      <c r="F7" s="4"/>
      <c r="G7" s="4"/>
      <c r="H7" s="6"/>
      <c r="I7" s="5"/>
      <c r="J7" s="5"/>
      <c r="K7" s="5"/>
      <c r="L7" s="5"/>
    </row>
    <row r="8" ht="15.0" customHeight="1">
      <c r="A8" s="12" t="s">
        <v>258</v>
      </c>
      <c r="B8" s="76" t="str">
        <f>IF(Elig_Day&gt;Cap_Day,"Shelf space","Eligible parcels")</f>
        <v>Shelf space</v>
      </c>
      <c r="C8" s="67" t="s">
        <v>259</v>
      </c>
      <c r="D8" s="4"/>
      <c r="E8" s="4"/>
      <c r="F8" s="4"/>
      <c r="G8" s="4"/>
      <c r="H8" s="6"/>
      <c r="I8" s="5"/>
      <c r="J8" s="5"/>
      <c r="K8" s="5"/>
      <c r="L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ht="15.0" customHeight="1">
      <c r="A10" s="7" t="s">
        <v>260</v>
      </c>
      <c r="B10" s="10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ht="15.0" customHeight="1">
      <c r="A11" s="12" t="s">
        <v>261</v>
      </c>
      <c r="B11" s="19">
        <f>C_Build+C_Cloud</f>
        <v>10200000</v>
      </c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15.0" customHeight="1">
      <c r="A12" s="12" t="s">
        <v>262</v>
      </c>
      <c r="B12" s="19">
        <f>Hubs*(C_Scanner+C_Racks+C_Training+Printer_Note)</f>
        <v>0</v>
      </c>
      <c r="C12" s="5"/>
      <c r="D12" s="5"/>
      <c r="E12" s="5"/>
      <c r="F12" s="5"/>
      <c r="G12" s="5"/>
      <c r="H12" s="5"/>
      <c r="I12" s="5"/>
      <c r="J12" s="5"/>
      <c r="K12" s="5"/>
      <c r="L12" s="5"/>
    </row>
    <row r="13" ht="15.0" customHeight="1">
      <c r="A13" s="26" t="s">
        <v>264</v>
      </c>
      <c r="B13" s="28">
        <f>OneTime_Central+OneTime_Hubs</f>
        <v>10200000</v>
      </c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15.0" customHeight="1">
      <c r="A14" s="12" t="s">
        <v>265</v>
      </c>
      <c r="B14" s="19">
        <f>C_Maint+C_Support+C_HubMonthly*Hubs</f>
        <v>600000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ht="15.0" customHeight="1">
      <c r="A16" s="7" t="s">
        <v>266</v>
      </c>
      <c r="B16" s="10"/>
      <c r="C16" s="10"/>
      <c r="D16" s="10"/>
      <c r="E16" s="10"/>
      <c r="F16" s="5"/>
      <c r="G16" s="5"/>
      <c r="H16" s="5"/>
      <c r="I16" s="5"/>
      <c r="J16" s="5"/>
      <c r="K16" s="5"/>
      <c r="L16" s="5"/>
    </row>
    <row r="17" ht="15.0" customHeight="1">
      <c r="A17" s="13"/>
      <c r="B17" s="8" t="s">
        <v>170</v>
      </c>
      <c r="C17" s="8" t="s">
        <v>171</v>
      </c>
      <c r="D17" s="8" t="s">
        <v>268</v>
      </c>
      <c r="E17" s="8" t="s">
        <v>269</v>
      </c>
      <c r="F17" s="5"/>
      <c r="G17" s="5"/>
      <c r="H17" s="5"/>
      <c r="I17" s="5"/>
      <c r="J17" s="5"/>
      <c r="K17" s="5"/>
      <c r="L17" s="5"/>
    </row>
    <row r="18" ht="15.0" customHeight="1">
      <c r="A18" s="12" t="s">
        <v>270</v>
      </c>
      <c r="B18" s="17">
        <f>AVERAGE(B29:B40)</f>
        <v>0.2375</v>
      </c>
      <c r="C18" s="17">
        <f>AVERAGE(B41:B52)</f>
        <v>0.375</v>
      </c>
      <c r="D18" s="17">
        <f>AVERAGE(B53:B64)</f>
        <v>0.375</v>
      </c>
      <c r="E18" s="20"/>
      <c r="F18" s="5"/>
      <c r="G18" s="5"/>
      <c r="H18" s="5"/>
      <c r="I18" s="5"/>
      <c r="J18" s="5"/>
      <c r="K18" s="5"/>
      <c r="L18" s="5"/>
    </row>
    <row r="19" ht="15.0" customHeight="1">
      <c r="A19" s="12" t="s">
        <v>174</v>
      </c>
      <c r="B19" s="81">
        <f>SUM(D29:D40)/10^5</f>
        <v>342.7252232</v>
      </c>
      <c r="C19" s="81">
        <f>SUM(D41:D52)/10^5</f>
        <v>541.1450893</v>
      </c>
      <c r="D19" s="81">
        <f>SUM(D53:D64)/10^5</f>
        <v>541.1450893</v>
      </c>
      <c r="E19" s="81">
        <f>SUM(D29:D64)/10^5</f>
        <v>1425.015402</v>
      </c>
      <c r="F19" s="5"/>
      <c r="G19" s="5"/>
      <c r="H19" s="5"/>
      <c r="I19" s="5"/>
      <c r="J19" s="5"/>
      <c r="K19" s="5"/>
      <c r="L19" s="5"/>
    </row>
    <row r="20" ht="15.0" customHeight="1">
      <c r="A20" s="12" t="s">
        <v>179</v>
      </c>
      <c r="B20" s="17">
        <f>SUM(D29:D40)/(RTO_Day*365)</f>
        <v>0.1315088535</v>
      </c>
      <c r="C20" s="17">
        <f>SUM(D41:D52)/(RTO_Day*365)</f>
        <v>0.2076455582</v>
      </c>
      <c r="D20" s="17">
        <f>SUM(D53:D64)/(RTO_Day*365)</f>
        <v>0.2076455582</v>
      </c>
      <c r="E20" s="17">
        <f>SUM(D29:D64)/(RTO_Day*365*3)</f>
        <v>0.1822666567</v>
      </c>
      <c r="F20" s="5"/>
      <c r="G20" s="5"/>
      <c r="H20" s="5"/>
      <c r="I20" s="5"/>
      <c r="J20" s="5"/>
      <c r="K20" s="5"/>
      <c r="L20" s="5"/>
    </row>
    <row r="21" ht="15.0" customHeight="1">
      <c r="A21" s="44" t="s">
        <v>280</v>
      </c>
      <c r="B21" s="27">
        <f>SUM(I29:I40)</f>
        <v>410.9425084</v>
      </c>
      <c r="C21" s="27">
        <f>SUM(I41:I52)</f>
        <v>669.9023817</v>
      </c>
      <c r="D21" s="27">
        <f>SUM(I53:I64)</f>
        <v>669.9023817</v>
      </c>
      <c r="E21" s="27">
        <f>SUM(I29:I64)</f>
        <v>1750.747272</v>
      </c>
      <c r="F21" s="5"/>
      <c r="G21" s="5"/>
      <c r="H21" s="5"/>
      <c r="I21" s="5"/>
      <c r="J21" s="5"/>
      <c r="K21" s="5"/>
      <c r="L21" s="5"/>
    </row>
    <row r="22" ht="15.0" customHeight="1">
      <c r="A22" s="44" t="s">
        <v>291</v>
      </c>
      <c r="B22" s="27">
        <f>SUM(K29:K40)</f>
        <v>376.6699861</v>
      </c>
      <c r="C22" s="27">
        <f>SUM(K41:K52)</f>
        <v>615.7878728</v>
      </c>
      <c r="D22" s="27">
        <f>SUM(K53:K64)</f>
        <v>615.7878728</v>
      </c>
      <c r="E22" s="27">
        <f>SUM(K29:K64)</f>
        <v>1608.245732</v>
      </c>
      <c r="F22" s="5"/>
      <c r="G22" s="5"/>
      <c r="H22" s="5"/>
      <c r="I22" s="5"/>
      <c r="J22" s="5"/>
      <c r="K22" s="5"/>
      <c r="L22" s="5"/>
    </row>
    <row r="23" ht="15.0" customHeight="1">
      <c r="A23" s="12" t="s">
        <v>292</v>
      </c>
      <c r="B23" s="14">
        <f>IF(J64&lt;0,"Beyond 36",COUNTIF(J29:J64,"&lt;0")+1)</f>
        <v>1</v>
      </c>
      <c r="C23" s="14">
        <f>IF(L64&lt;0,"Beyond 36",COUNTIF(L29:L64,"&lt;0")+1)</f>
        <v>1</v>
      </c>
      <c r="D23" s="20"/>
      <c r="E23" s="20"/>
      <c r="F23" s="5"/>
      <c r="G23" s="5"/>
      <c r="H23" s="5"/>
      <c r="I23" s="5"/>
      <c r="J23" s="5"/>
      <c r="K23" s="5"/>
      <c r="L23" s="5"/>
    </row>
    <row r="24" ht="15.0" customHeight="1">
      <c r="A24" s="12" t="s">
        <v>293</v>
      </c>
      <c r="B24" s="85">
        <f>RTO_Day*365*RTO_Total/10^7</f>
        <v>3127.32</v>
      </c>
      <c r="C24" s="20"/>
      <c r="D24" s="20"/>
      <c r="E24" s="20"/>
      <c r="F24" s="5"/>
      <c r="G24" s="5"/>
      <c r="H24" s="5"/>
      <c r="I24" s="5"/>
      <c r="J24" s="5"/>
      <c r="K24" s="5"/>
      <c r="L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ht="15.0" customHeight="1">
      <c r="A27" s="7" t="s">
        <v>294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ht="15.0" customHeight="1">
      <c r="A28" s="8" t="s">
        <v>281</v>
      </c>
      <c r="B28" s="8" t="s">
        <v>246</v>
      </c>
      <c r="C28" s="8" t="s">
        <v>282</v>
      </c>
      <c r="D28" s="8" t="s">
        <v>295</v>
      </c>
      <c r="E28" s="8" t="s">
        <v>296</v>
      </c>
      <c r="F28" s="8" t="s">
        <v>297</v>
      </c>
      <c r="G28" s="8" t="s">
        <v>298</v>
      </c>
      <c r="H28" s="8" t="s">
        <v>299</v>
      </c>
      <c r="I28" s="8" t="s">
        <v>284</v>
      </c>
      <c r="J28" s="8" t="s">
        <v>300</v>
      </c>
      <c r="K28" s="8" t="s">
        <v>288</v>
      </c>
      <c r="L28" s="8" t="s">
        <v>301</v>
      </c>
    </row>
    <row r="29" ht="15.0" customHeight="1">
      <c r="A29" s="84">
        <v>1.0</v>
      </c>
      <c r="B29" s="17">
        <f>IF(A29&gt;=Ramp,ST_Target,ST_Start+(ST_Target-ST_Start)*(A29-1)/MAX(1,Ramp-1))</f>
        <v>0.1</v>
      </c>
      <c r="C29" s="14">
        <f>Routed_Day*365/12</f>
        <v>12025446.43</v>
      </c>
      <c r="D29" s="14">
        <f t="shared" ref="D29:D64" si="1">C29*B29</f>
        <v>1202544.643</v>
      </c>
      <c r="E29" s="85">
        <f>C29*(B29*Save_Sold_Base+(1-B29)*Save_Unsold)/10^7</f>
        <v>12.89521959</v>
      </c>
      <c r="F29" s="85">
        <f>C29*(B29*Save_Sold_High+(1-B29)*Save_Unsold)/10^7</f>
        <v>11.69267495</v>
      </c>
      <c r="G29" s="85">
        <f>-Running_M/10^7</f>
        <v>-0.06</v>
      </c>
      <c r="H29" s="85">
        <f>IF(A29=1,-OneTime/10^7,0)</f>
        <v>-1.02</v>
      </c>
      <c r="I29" s="85">
        <f t="shared" ref="I29:I64" si="2">E29+G29+H29</f>
        <v>11.81521959</v>
      </c>
      <c r="J29" s="85">
        <f>I29</f>
        <v>11.81521959</v>
      </c>
      <c r="K29" s="85">
        <f t="shared" ref="K29:K64" si="3">F29+G29+H29</f>
        <v>10.61267495</v>
      </c>
      <c r="L29" s="85">
        <f>K29</f>
        <v>10.61267495</v>
      </c>
    </row>
    <row r="30" ht="15.0" customHeight="1">
      <c r="A30" s="84">
        <v>2.0</v>
      </c>
      <c r="B30" s="17">
        <f>IF(A30&gt;=Ramp,ST_Target,ST_Start+(ST_Target-ST_Start)*(A30-1)/MAX(1,Ramp-1))</f>
        <v>0.125</v>
      </c>
      <c r="C30" s="14">
        <f>Routed_Day*365/12</f>
        <v>12025446.43</v>
      </c>
      <c r="D30" s="14">
        <f t="shared" si="1"/>
        <v>1503180.804</v>
      </c>
      <c r="E30" s="85">
        <f>C30*(B30*Save_Sold_Base+(1-B30)*Save_Unsold)/10^7</f>
        <v>16.80339949</v>
      </c>
      <c r="F30" s="85">
        <f>C30*(B30*Save_Sold_High+(1-B30)*Save_Unsold)/10^7</f>
        <v>15.30021869</v>
      </c>
      <c r="G30" s="85">
        <f>-Running_M/10^7</f>
        <v>-0.06</v>
      </c>
      <c r="H30" s="85">
        <f>IF(A30=1,-OneTime/10^7,0)</f>
        <v>0</v>
      </c>
      <c r="I30" s="85">
        <f t="shared" si="2"/>
        <v>16.74339949</v>
      </c>
      <c r="J30" s="85">
        <f t="shared" ref="J30:J64" si="4">J29+I30</f>
        <v>28.55861909</v>
      </c>
      <c r="K30" s="85">
        <f t="shared" si="3"/>
        <v>15.24021869</v>
      </c>
      <c r="L30" s="85">
        <f t="shared" ref="L30:L64" si="5">L29+K30</f>
        <v>25.85289364</v>
      </c>
    </row>
    <row r="31" ht="15.0" customHeight="1">
      <c r="A31" s="84">
        <v>3.0</v>
      </c>
      <c r="B31" s="17">
        <f>IF(A31&gt;=Ramp,ST_Target,ST_Start+(ST_Target-ST_Start)*(A31-1)/MAX(1,Ramp-1))</f>
        <v>0.15</v>
      </c>
      <c r="C31" s="14">
        <f>Routed_Day*365/12</f>
        <v>12025446.43</v>
      </c>
      <c r="D31" s="14">
        <f t="shared" si="1"/>
        <v>1803816.964</v>
      </c>
      <c r="E31" s="85">
        <f>C31*(B31*Save_Sold_Base+(1-B31)*Save_Unsold)/10^7</f>
        <v>20.71157939</v>
      </c>
      <c r="F31" s="85">
        <f>C31*(B31*Save_Sold_High+(1-B31)*Save_Unsold)/10^7</f>
        <v>18.90776243</v>
      </c>
      <c r="G31" s="85">
        <f>-Running_M/10^7</f>
        <v>-0.06</v>
      </c>
      <c r="H31" s="85">
        <f>IF(A31=1,-OneTime/10^7,0)</f>
        <v>0</v>
      </c>
      <c r="I31" s="85">
        <f t="shared" si="2"/>
        <v>20.65157939</v>
      </c>
      <c r="J31" s="85">
        <f t="shared" si="4"/>
        <v>49.21019848</v>
      </c>
      <c r="K31" s="85">
        <f t="shared" si="3"/>
        <v>18.84776243</v>
      </c>
      <c r="L31" s="85">
        <f t="shared" si="5"/>
        <v>44.70065607</v>
      </c>
    </row>
    <row r="32" ht="15.0" customHeight="1">
      <c r="A32" s="84">
        <v>4.0</v>
      </c>
      <c r="B32" s="17">
        <f>IF(A32&gt;=Ramp,ST_Target,ST_Start+(ST_Target-ST_Start)*(A32-1)/MAX(1,Ramp-1))</f>
        <v>0.175</v>
      </c>
      <c r="C32" s="14">
        <f>Routed_Day*365/12</f>
        <v>12025446.43</v>
      </c>
      <c r="D32" s="14">
        <f t="shared" si="1"/>
        <v>2104453.125</v>
      </c>
      <c r="E32" s="85">
        <f>C32*(B32*Save_Sold_Base+(1-B32)*Save_Unsold)/10^7</f>
        <v>24.61975929</v>
      </c>
      <c r="F32" s="85">
        <f>C32*(B32*Save_Sold_High+(1-B32)*Save_Unsold)/10^7</f>
        <v>22.51530616</v>
      </c>
      <c r="G32" s="85">
        <f>-Running_M/10^7</f>
        <v>-0.06</v>
      </c>
      <c r="H32" s="85">
        <f>IF(A32=1,-OneTime/10^7,0)</f>
        <v>0</v>
      </c>
      <c r="I32" s="85">
        <f t="shared" si="2"/>
        <v>24.55975929</v>
      </c>
      <c r="J32" s="85">
        <f t="shared" si="4"/>
        <v>73.76995777</v>
      </c>
      <c r="K32" s="85">
        <f t="shared" si="3"/>
        <v>22.45530616</v>
      </c>
      <c r="L32" s="85">
        <f t="shared" si="5"/>
        <v>67.15596223</v>
      </c>
    </row>
    <row r="33" ht="15.0" customHeight="1">
      <c r="A33" s="84">
        <v>5.0</v>
      </c>
      <c r="B33" s="17">
        <f>IF(A33&gt;=Ramp,ST_Target,ST_Start+(ST_Target-ST_Start)*(A33-1)/MAX(1,Ramp-1))</f>
        <v>0.2</v>
      </c>
      <c r="C33" s="14">
        <f>Routed_Day*365/12</f>
        <v>12025446.43</v>
      </c>
      <c r="D33" s="14">
        <f t="shared" si="1"/>
        <v>2405089.286</v>
      </c>
      <c r="E33" s="85">
        <f>C33*(B33*Save_Sold_Base+(1-B33)*Save_Unsold)/10^7</f>
        <v>28.52793919</v>
      </c>
      <c r="F33" s="85">
        <f>C33*(B33*Save_Sold_High+(1-B33)*Save_Unsold)/10^7</f>
        <v>26.1228499</v>
      </c>
      <c r="G33" s="85">
        <f>-Running_M/10^7</f>
        <v>-0.06</v>
      </c>
      <c r="H33" s="85">
        <f>IF(A33=1,-OneTime/10^7,0)</f>
        <v>0</v>
      </c>
      <c r="I33" s="85">
        <f t="shared" si="2"/>
        <v>28.46793919</v>
      </c>
      <c r="J33" s="85">
        <f t="shared" si="4"/>
        <v>102.237897</v>
      </c>
      <c r="K33" s="85">
        <f t="shared" si="3"/>
        <v>26.0628499</v>
      </c>
      <c r="L33" s="85">
        <f t="shared" si="5"/>
        <v>93.21881213</v>
      </c>
    </row>
    <row r="34" ht="15.0" customHeight="1">
      <c r="A34" s="84">
        <v>6.0</v>
      </c>
      <c r="B34" s="17">
        <f>IF(A34&gt;=Ramp,ST_Target,ST_Start+(ST_Target-ST_Start)*(A34-1)/MAX(1,Ramp-1))</f>
        <v>0.225</v>
      </c>
      <c r="C34" s="14">
        <f>Routed_Day*365/12</f>
        <v>12025446.43</v>
      </c>
      <c r="D34" s="14">
        <f t="shared" si="1"/>
        <v>2705725.446</v>
      </c>
      <c r="E34" s="85">
        <f>C34*(B34*Save_Sold_Base+(1-B34)*Save_Unsold)/10^7</f>
        <v>32.43611909</v>
      </c>
      <c r="F34" s="85">
        <f>C34*(B34*Save_Sold_High+(1-B34)*Save_Unsold)/10^7</f>
        <v>29.73039364</v>
      </c>
      <c r="G34" s="85">
        <f>-Running_M/10^7</f>
        <v>-0.06</v>
      </c>
      <c r="H34" s="85">
        <f>IF(A34=1,-OneTime/10^7,0)</f>
        <v>0</v>
      </c>
      <c r="I34" s="85">
        <f t="shared" si="2"/>
        <v>32.37611909</v>
      </c>
      <c r="J34" s="85">
        <f t="shared" si="4"/>
        <v>134.614016</v>
      </c>
      <c r="K34" s="85">
        <f t="shared" si="3"/>
        <v>29.67039364</v>
      </c>
      <c r="L34" s="85">
        <f t="shared" si="5"/>
        <v>122.8892058</v>
      </c>
    </row>
    <row r="35" ht="15.0" customHeight="1">
      <c r="A35" s="84">
        <v>7.0</v>
      </c>
      <c r="B35" s="17">
        <f>IF(A35&gt;=Ramp,ST_Target,ST_Start+(ST_Target-ST_Start)*(A35-1)/MAX(1,Ramp-1))</f>
        <v>0.25</v>
      </c>
      <c r="C35" s="14">
        <f>Routed_Day*365/12</f>
        <v>12025446.43</v>
      </c>
      <c r="D35" s="14">
        <f t="shared" si="1"/>
        <v>3006361.607</v>
      </c>
      <c r="E35" s="85">
        <f>C35*(B35*Save_Sold_Base+(1-B35)*Save_Unsold)/10^7</f>
        <v>36.34429898</v>
      </c>
      <c r="F35" s="85">
        <f>C35*(B35*Save_Sold_High+(1-B35)*Save_Unsold)/10^7</f>
        <v>33.33793738</v>
      </c>
      <c r="G35" s="85">
        <f>-Running_M/10^7</f>
        <v>-0.06</v>
      </c>
      <c r="H35" s="85">
        <f>IF(A35=1,-OneTime/10^7,0)</f>
        <v>0</v>
      </c>
      <c r="I35" s="85">
        <f t="shared" si="2"/>
        <v>36.28429898</v>
      </c>
      <c r="J35" s="85">
        <f t="shared" si="4"/>
        <v>170.898315</v>
      </c>
      <c r="K35" s="85">
        <f t="shared" si="3"/>
        <v>33.27793738</v>
      </c>
      <c r="L35" s="85">
        <f t="shared" si="5"/>
        <v>156.1671431</v>
      </c>
    </row>
    <row r="36" ht="15.0" customHeight="1">
      <c r="A36" s="84">
        <v>8.0</v>
      </c>
      <c r="B36" s="17">
        <f>IF(A36&gt;=Ramp,ST_Target,ST_Start+(ST_Target-ST_Start)*(A36-1)/MAX(1,Ramp-1))</f>
        <v>0.275</v>
      </c>
      <c r="C36" s="14">
        <f>Routed_Day*365/12</f>
        <v>12025446.43</v>
      </c>
      <c r="D36" s="14">
        <f t="shared" si="1"/>
        <v>3306997.768</v>
      </c>
      <c r="E36" s="85">
        <f>C36*(B36*Save_Sold_Base+(1-B36)*Save_Unsold)/10^7</f>
        <v>40.25247888</v>
      </c>
      <c r="F36" s="85">
        <f>C36*(B36*Save_Sold_High+(1-B36)*Save_Unsold)/10^7</f>
        <v>36.94548111</v>
      </c>
      <c r="G36" s="85">
        <f>-Running_M/10^7</f>
        <v>-0.06</v>
      </c>
      <c r="H36" s="85">
        <f>IF(A36=1,-OneTime/10^7,0)</f>
        <v>0</v>
      </c>
      <c r="I36" s="85">
        <f t="shared" si="2"/>
        <v>40.19247888</v>
      </c>
      <c r="J36" s="85">
        <f t="shared" si="4"/>
        <v>211.0907939</v>
      </c>
      <c r="K36" s="85">
        <f t="shared" si="3"/>
        <v>36.88548111</v>
      </c>
      <c r="L36" s="85">
        <f t="shared" si="5"/>
        <v>193.0526243</v>
      </c>
    </row>
    <row r="37" ht="15.0" customHeight="1">
      <c r="A37" s="84">
        <v>9.0</v>
      </c>
      <c r="B37" s="17">
        <f>IF(A37&gt;=Ramp,ST_Target,ST_Start+(ST_Target-ST_Start)*(A37-1)/MAX(1,Ramp-1))</f>
        <v>0.3</v>
      </c>
      <c r="C37" s="14">
        <f>Routed_Day*365/12</f>
        <v>12025446.43</v>
      </c>
      <c r="D37" s="14">
        <f t="shared" si="1"/>
        <v>3607633.929</v>
      </c>
      <c r="E37" s="85">
        <f>C37*(B37*Save_Sold_Base+(1-B37)*Save_Unsold)/10^7</f>
        <v>44.16065878</v>
      </c>
      <c r="F37" s="85">
        <f>C37*(B37*Save_Sold_High+(1-B37)*Save_Unsold)/10^7</f>
        <v>40.55302485</v>
      </c>
      <c r="G37" s="85">
        <f>-Running_M/10^7</f>
        <v>-0.06</v>
      </c>
      <c r="H37" s="85">
        <f>IF(A37=1,-OneTime/10^7,0)</f>
        <v>0</v>
      </c>
      <c r="I37" s="85">
        <f t="shared" si="2"/>
        <v>44.10065878</v>
      </c>
      <c r="J37" s="85">
        <f t="shared" si="4"/>
        <v>255.1914527</v>
      </c>
      <c r="K37" s="85">
        <f t="shared" si="3"/>
        <v>40.49302485</v>
      </c>
      <c r="L37" s="85">
        <f t="shared" si="5"/>
        <v>233.5456491</v>
      </c>
    </row>
    <row r="38" ht="15.0" customHeight="1">
      <c r="A38" s="84">
        <v>10.0</v>
      </c>
      <c r="B38" s="17">
        <f>IF(A38&gt;=Ramp,ST_Target,ST_Start+(ST_Target-ST_Start)*(A38-1)/MAX(1,Ramp-1))</f>
        <v>0.325</v>
      </c>
      <c r="C38" s="14">
        <f>Routed_Day*365/12</f>
        <v>12025446.43</v>
      </c>
      <c r="D38" s="14">
        <f t="shared" si="1"/>
        <v>3908270.089</v>
      </c>
      <c r="E38" s="85">
        <f>C38*(B38*Save_Sold_Base+(1-B38)*Save_Unsold)/10^7</f>
        <v>48.06883868</v>
      </c>
      <c r="F38" s="85">
        <f>C38*(B38*Save_Sold_High+(1-B38)*Save_Unsold)/10^7</f>
        <v>44.16056859</v>
      </c>
      <c r="G38" s="85">
        <f>-Running_M/10^7</f>
        <v>-0.06</v>
      </c>
      <c r="H38" s="85">
        <f>IF(A38=1,-OneTime/10^7,0)</f>
        <v>0</v>
      </c>
      <c r="I38" s="85">
        <f t="shared" si="2"/>
        <v>48.00883868</v>
      </c>
      <c r="J38" s="85">
        <f t="shared" si="4"/>
        <v>303.2002914</v>
      </c>
      <c r="K38" s="85">
        <f t="shared" si="3"/>
        <v>44.10056859</v>
      </c>
      <c r="L38" s="85">
        <f t="shared" si="5"/>
        <v>277.6462177</v>
      </c>
    </row>
    <row r="39" ht="15.0" customHeight="1">
      <c r="A39" s="84">
        <v>11.0</v>
      </c>
      <c r="B39" s="17">
        <f>IF(A39&gt;=Ramp,ST_Target,ST_Start+(ST_Target-ST_Start)*(A39-1)/MAX(1,Ramp-1))</f>
        <v>0.35</v>
      </c>
      <c r="C39" s="14">
        <f>Routed_Day*365/12</f>
        <v>12025446.43</v>
      </c>
      <c r="D39" s="14">
        <f t="shared" si="1"/>
        <v>4208906.25</v>
      </c>
      <c r="E39" s="85">
        <f>C39*(B39*Save_Sold_Base+(1-B39)*Save_Unsold)/10^7</f>
        <v>51.97701858</v>
      </c>
      <c r="F39" s="85">
        <f>C39*(B39*Save_Sold_High+(1-B39)*Save_Unsold)/10^7</f>
        <v>47.76811233</v>
      </c>
      <c r="G39" s="85">
        <f>-Running_M/10^7</f>
        <v>-0.06</v>
      </c>
      <c r="H39" s="85">
        <f>IF(A39=1,-OneTime/10^7,0)</f>
        <v>0</v>
      </c>
      <c r="I39" s="85">
        <f t="shared" si="2"/>
        <v>51.91701858</v>
      </c>
      <c r="J39" s="85">
        <f t="shared" si="4"/>
        <v>355.1173099</v>
      </c>
      <c r="K39" s="85">
        <f t="shared" si="3"/>
        <v>47.70811233</v>
      </c>
      <c r="L39" s="85">
        <f t="shared" si="5"/>
        <v>325.35433</v>
      </c>
    </row>
    <row r="40" ht="15.0" customHeight="1">
      <c r="A40" s="84">
        <v>12.0</v>
      </c>
      <c r="B40" s="17">
        <f>IF(A40&gt;=Ramp,ST_Target,ST_Start+(ST_Target-ST_Start)*(A40-1)/MAX(1,Ramp-1))</f>
        <v>0.375</v>
      </c>
      <c r="C40" s="14">
        <f>Routed_Day*365/12</f>
        <v>12025446.43</v>
      </c>
      <c r="D40" s="14">
        <f t="shared" si="1"/>
        <v>4509542.411</v>
      </c>
      <c r="E40" s="85">
        <f>C40*(B40*Save_Sold_Base+(1-B40)*Save_Unsold)/10^7</f>
        <v>55.88519848</v>
      </c>
      <c r="F40" s="85">
        <f>C40*(B40*Save_Sold_High+(1-B40)*Save_Unsold)/10^7</f>
        <v>51.37565607</v>
      </c>
      <c r="G40" s="85">
        <f>-Running_M/10^7</f>
        <v>-0.06</v>
      </c>
      <c r="H40" s="85">
        <f>IF(A40=1,-OneTime/10^7,0)</f>
        <v>0</v>
      </c>
      <c r="I40" s="85">
        <f t="shared" si="2"/>
        <v>55.82519848</v>
      </c>
      <c r="J40" s="85">
        <f t="shared" si="4"/>
        <v>410.9425084</v>
      </c>
      <c r="K40" s="85">
        <f t="shared" si="3"/>
        <v>51.31565607</v>
      </c>
      <c r="L40" s="85">
        <f t="shared" si="5"/>
        <v>376.6699861</v>
      </c>
    </row>
    <row r="41" ht="15.0" customHeight="1">
      <c r="A41" s="84">
        <v>13.0</v>
      </c>
      <c r="B41" s="17">
        <f>IF(A41&gt;=Ramp,ST_Target,ST_Start+(ST_Target-ST_Start)*(A41-1)/MAX(1,Ramp-1))</f>
        <v>0.375</v>
      </c>
      <c r="C41" s="14">
        <f>Routed_Day*365/12</f>
        <v>12025446.43</v>
      </c>
      <c r="D41" s="14">
        <f t="shared" si="1"/>
        <v>4509542.411</v>
      </c>
      <c r="E41" s="85">
        <f>C41*(B41*Save_Sold_Base+(1-B41)*Save_Unsold)/10^7</f>
        <v>55.88519848</v>
      </c>
      <c r="F41" s="85">
        <f>C41*(B41*Save_Sold_High+(1-B41)*Save_Unsold)/10^7</f>
        <v>51.37565607</v>
      </c>
      <c r="G41" s="85">
        <f>-Running_M/10^7</f>
        <v>-0.06</v>
      </c>
      <c r="H41" s="85">
        <f>IF(A41=1,-OneTime/10^7,0)</f>
        <v>0</v>
      </c>
      <c r="I41" s="85">
        <f t="shared" si="2"/>
        <v>55.82519848</v>
      </c>
      <c r="J41" s="85">
        <f t="shared" si="4"/>
        <v>466.7677069</v>
      </c>
      <c r="K41" s="85">
        <f t="shared" si="3"/>
        <v>51.31565607</v>
      </c>
      <c r="L41" s="85">
        <f t="shared" si="5"/>
        <v>427.9856422</v>
      </c>
    </row>
    <row r="42" ht="15.0" customHeight="1">
      <c r="A42" s="84">
        <v>14.0</v>
      </c>
      <c r="B42" s="17">
        <f>IF(A42&gt;=Ramp,ST_Target,ST_Start+(ST_Target-ST_Start)*(A42-1)/MAX(1,Ramp-1))</f>
        <v>0.375</v>
      </c>
      <c r="C42" s="14">
        <f>Routed_Day*365/12</f>
        <v>12025446.43</v>
      </c>
      <c r="D42" s="14">
        <f t="shared" si="1"/>
        <v>4509542.411</v>
      </c>
      <c r="E42" s="85">
        <f>C42*(B42*Save_Sold_Base+(1-B42)*Save_Unsold)/10^7</f>
        <v>55.88519848</v>
      </c>
      <c r="F42" s="85">
        <f>C42*(B42*Save_Sold_High+(1-B42)*Save_Unsold)/10^7</f>
        <v>51.37565607</v>
      </c>
      <c r="G42" s="85">
        <f>-Running_M/10^7</f>
        <v>-0.06</v>
      </c>
      <c r="H42" s="85">
        <f>IF(A42=1,-OneTime/10^7,0)</f>
        <v>0</v>
      </c>
      <c r="I42" s="85">
        <f t="shared" si="2"/>
        <v>55.82519848</v>
      </c>
      <c r="J42" s="85">
        <f t="shared" si="4"/>
        <v>522.5929054</v>
      </c>
      <c r="K42" s="85">
        <f t="shared" si="3"/>
        <v>51.31565607</v>
      </c>
      <c r="L42" s="85">
        <f t="shared" si="5"/>
        <v>479.3012982</v>
      </c>
    </row>
    <row r="43" ht="15.0" customHeight="1">
      <c r="A43" s="84">
        <v>15.0</v>
      </c>
      <c r="B43" s="17">
        <f>IF(A43&gt;=Ramp,ST_Target,ST_Start+(ST_Target-ST_Start)*(A43-1)/MAX(1,Ramp-1))</f>
        <v>0.375</v>
      </c>
      <c r="C43" s="14">
        <f>Routed_Day*365/12</f>
        <v>12025446.43</v>
      </c>
      <c r="D43" s="14">
        <f t="shared" si="1"/>
        <v>4509542.411</v>
      </c>
      <c r="E43" s="85">
        <f>C43*(B43*Save_Sold_Base+(1-B43)*Save_Unsold)/10^7</f>
        <v>55.88519848</v>
      </c>
      <c r="F43" s="85">
        <f>C43*(B43*Save_Sold_High+(1-B43)*Save_Unsold)/10^7</f>
        <v>51.37565607</v>
      </c>
      <c r="G43" s="85">
        <f>-Running_M/10^7</f>
        <v>-0.06</v>
      </c>
      <c r="H43" s="85">
        <f>IF(A43=1,-OneTime/10^7,0)</f>
        <v>0</v>
      </c>
      <c r="I43" s="85">
        <f t="shared" si="2"/>
        <v>55.82519848</v>
      </c>
      <c r="J43" s="85">
        <f t="shared" si="4"/>
        <v>578.4181039</v>
      </c>
      <c r="K43" s="85">
        <f t="shared" si="3"/>
        <v>51.31565607</v>
      </c>
      <c r="L43" s="85">
        <f t="shared" si="5"/>
        <v>530.6169543</v>
      </c>
    </row>
    <row r="44" ht="15.0" customHeight="1">
      <c r="A44" s="84">
        <v>16.0</v>
      </c>
      <c r="B44" s="17">
        <f>IF(A44&gt;=Ramp,ST_Target,ST_Start+(ST_Target-ST_Start)*(A44-1)/MAX(1,Ramp-1))</f>
        <v>0.375</v>
      </c>
      <c r="C44" s="14">
        <f>Routed_Day*365/12</f>
        <v>12025446.43</v>
      </c>
      <c r="D44" s="14">
        <f t="shared" si="1"/>
        <v>4509542.411</v>
      </c>
      <c r="E44" s="85">
        <f>C44*(B44*Save_Sold_Base+(1-B44)*Save_Unsold)/10^7</f>
        <v>55.88519848</v>
      </c>
      <c r="F44" s="85">
        <f>C44*(B44*Save_Sold_High+(1-B44)*Save_Unsold)/10^7</f>
        <v>51.37565607</v>
      </c>
      <c r="G44" s="85">
        <f>-Running_M/10^7</f>
        <v>-0.06</v>
      </c>
      <c r="H44" s="85">
        <f>IF(A44=1,-OneTime/10^7,0)</f>
        <v>0</v>
      </c>
      <c r="I44" s="85">
        <f t="shared" si="2"/>
        <v>55.82519848</v>
      </c>
      <c r="J44" s="85">
        <f t="shared" si="4"/>
        <v>634.2433023</v>
      </c>
      <c r="K44" s="85">
        <f t="shared" si="3"/>
        <v>51.31565607</v>
      </c>
      <c r="L44" s="85">
        <f t="shared" si="5"/>
        <v>581.9326104</v>
      </c>
    </row>
    <row r="45" ht="15.0" customHeight="1">
      <c r="A45" s="84">
        <v>17.0</v>
      </c>
      <c r="B45" s="17">
        <f>IF(A45&gt;=Ramp,ST_Target,ST_Start+(ST_Target-ST_Start)*(A45-1)/MAX(1,Ramp-1))</f>
        <v>0.375</v>
      </c>
      <c r="C45" s="14">
        <f>Routed_Day*365/12</f>
        <v>12025446.43</v>
      </c>
      <c r="D45" s="14">
        <f t="shared" si="1"/>
        <v>4509542.411</v>
      </c>
      <c r="E45" s="85">
        <f>C45*(B45*Save_Sold_Base+(1-B45)*Save_Unsold)/10^7</f>
        <v>55.88519848</v>
      </c>
      <c r="F45" s="85">
        <f>C45*(B45*Save_Sold_High+(1-B45)*Save_Unsold)/10^7</f>
        <v>51.37565607</v>
      </c>
      <c r="G45" s="85">
        <f>-Running_M/10^7</f>
        <v>-0.06</v>
      </c>
      <c r="H45" s="85">
        <f>IF(A45=1,-OneTime/10^7,0)</f>
        <v>0</v>
      </c>
      <c r="I45" s="85">
        <f t="shared" si="2"/>
        <v>55.82519848</v>
      </c>
      <c r="J45" s="85">
        <f t="shared" si="4"/>
        <v>690.0685008</v>
      </c>
      <c r="K45" s="85">
        <f t="shared" si="3"/>
        <v>51.31565607</v>
      </c>
      <c r="L45" s="85">
        <f t="shared" si="5"/>
        <v>633.2482664</v>
      </c>
    </row>
    <row r="46" ht="15.0" customHeight="1">
      <c r="A46" s="84">
        <v>18.0</v>
      </c>
      <c r="B46" s="17">
        <f>IF(A46&gt;=Ramp,ST_Target,ST_Start+(ST_Target-ST_Start)*(A46-1)/MAX(1,Ramp-1))</f>
        <v>0.375</v>
      </c>
      <c r="C46" s="14">
        <f>Routed_Day*365/12</f>
        <v>12025446.43</v>
      </c>
      <c r="D46" s="14">
        <f t="shared" si="1"/>
        <v>4509542.411</v>
      </c>
      <c r="E46" s="85">
        <f>C46*(B46*Save_Sold_Base+(1-B46)*Save_Unsold)/10^7</f>
        <v>55.88519848</v>
      </c>
      <c r="F46" s="85">
        <f>C46*(B46*Save_Sold_High+(1-B46)*Save_Unsold)/10^7</f>
        <v>51.37565607</v>
      </c>
      <c r="G46" s="85">
        <f>-Running_M/10^7</f>
        <v>-0.06</v>
      </c>
      <c r="H46" s="85">
        <f>IF(A46=1,-OneTime/10^7,0)</f>
        <v>0</v>
      </c>
      <c r="I46" s="85">
        <f t="shared" si="2"/>
        <v>55.82519848</v>
      </c>
      <c r="J46" s="85">
        <f t="shared" si="4"/>
        <v>745.8936993</v>
      </c>
      <c r="K46" s="85">
        <f t="shared" si="3"/>
        <v>51.31565607</v>
      </c>
      <c r="L46" s="85">
        <f t="shared" si="5"/>
        <v>684.5639225</v>
      </c>
    </row>
    <row r="47" ht="15.0" customHeight="1">
      <c r="A47" s="84">
        <v>19.0</v>
      </c>
      <c r="B47" s="17">
        <f>IF(A47&gt;=Ramp,ST_Target,ST_Start+(ST_Target-ST_Start)*(A47-1)/MAX(1,Ramp-1))</f>
        <v>0.375</v>
      </c>
      <c r="C47" s="14">
        <f>Routed_Day*365/12</f>
        <v>12025446.43</v>
      </c>
      <c r="D47" s="14">
        <f t="shared" si="1"/>
        <v>4509542.411</v>
      </c>
      <c r="E47" s="85">
        <f>C47*(B47*Save_Sold_Base+(1-B47)*Save_Unsold)/10^7</f>
        <v>55.88519848</v>
      </c>
      <c r="F47" s="85">
        <f>C47*(B47*Save_Sold_High+(1-B47)*Save_Unsold)/10^7</f>
        <v>51.37565607</v>
      </c>
      <c r="G47" s="85">
        <f>-Running_M/10^7</f>
        <v>-0.06</v>
      </c>
      <c r="H47" s="85">
        <f>IF(A47=1,-OneTime/10^7,0)</f>
        <v>0</v>
      </c>
      <c r="I47" s="85">
        <f t="shared" si="2"/>
        <v>55.82519848</v>
      </c>
      <c r="J47" s="85">
        <f t="shared" si="4"/>
        <v>801.7188978</v>
      </c>
      <c r="K47" s="85">
        <f t="shared" si="3"/>
        <v>51.31565607</v>
      </c>
      <c r="L47" s="85">
        <f t="shared" si="5"/>
        <v>735.8795786</v>
      </c>
    </row>
    <row r="48" ht="15.0" customHeight="1">
      <c r="A48" s="84">
        <v>20.0</v>
      </c>
      <c r="B48" s="17">
        <f>IF(A48&gt;=Ramp,ST_Target,ST_Start+(ST_Target-ST_Start)*(A48-1)/MAX(1,Ramp-1))</f>
        <v>0.375</v>
      </c>
      <c r="C48" s="14">
        <f>Routed_Day*365/12</f>
        <v>12025446.43</v>
      </c>
      <c r="D48" s="14">
        <f t="shared" si="1"/>
        <v>4509542.411</v>
      </c>
      <c r="E48" s="85">
        <f>C48*(B48*Save_Sold_Base+(1-B48)*Save_Unsold)/10^7</f>
        <v>55.88519848</v>
      </c>
      <c r="F48" s="85">
        <f>C48*(B48*Save_Sold_High+(1-B48)*Save_Unsold)/10^7</f>
        <v>51.37565607</v>
      </c>
      <c r="G48" s="85">
        <f>-Running_M/10^7</f>
        <v>-0.06</v>
      </c>
      <c r="H48" s="85">
        <f>IF(A48=1,-OneTime/10^7,0)</f>
        <v>0</v>
      </c>
      <c r="I48" s="85">
        <f t="shared" si="2"/>
        <v>55.82519848</v>
      </c>
      <c r="J48" s="85">
        <f t="shared" si="4"/>
        <v>857.5440962</v>
      </c>
      <c r="K48" s="85">
        <f t="shared" si="3"/>
        <v>51.31565607</v>
      </c>
      <c r="L48" s="85">
        <f t="shared" si="5"/>
        <v>787.1952346</v>
      </c>
    </row>
    <row r="49" ht="15.0" customHeight="1">
      <c r="A49" s="84">
        <v>21.0</v>
      </c>
      <c r="B49" s="17">
        <f>IF(A49&gt;=Ramp,ST_Target,ST_Start+(ST_Target-ST_Start)*(A49-1)/MAX(1,Ramp-1))</f>
        <v>0.375</v>
      </c>
      <c r="C49" s="14">
        <f>Routed_Day*365/12</f>
        <v>12025446.43</v>
      </c>
      <c r="D49" s="14">
        <f t="shared" si="1"/>
        <v>4509542.411</v>
      </c>
      <c r="E49" s="85">
        <f>C49*(B49*Save_Sold_Base+(1-B49)*Save_Unsold)/10^7</f>
        <v>55.88519848</v>
      </c>
      <c r="F49" s="85">
        <f>C49*(B49*Save_Sold_High+(1-B49)*Save_Unsold)/10^7</f>
        <v>51.37565607</v>
      </c>
      <c r="G49" s="85">
        <f>-Running_M/10^7</f>
        <v>-0.06</v>
      </c>
      <c r="H49" s="85">
        <f>IF(A49=1,-OneTime/10^7,0)</f>
        <v>0</v>
      </c>
      <c r="I49" s="85">
        <f t="shared" si="2"/>
        <v>55.82519848</v>
      </c>
      <c r="J49" s="85">
        <f t="shared" si="4"/>
        <v>913.3692947</v>
      </c>
      <c r="K49" s="85">
        <f t="shared" si="3"/>
        <v>51.31565607</v>
      </c>
      <c r="L49" s="85">
        <f t="shared" si="5"/>
        <v>838.5108907</v>
      </c>
    </row>
    <row r="50" ht="15.0" customHeight="1">
      <c r="A50" s="84">
        <v>22.0</v>
      </c>
      <c r="B50" s="17">
        <f>IF(A50&gt;=Ramp,ST_Target,ST_Start+(ST_Target-ST_Start)*(A50-1)/MAX(1,Ramp-1))</f>
        <v>0.375</v>
      </c>
      <c r="C50" s="14">
        <f>Routed_Day*365/12</f>
        <v>12025446.43</v>
      </c>
      <c r="D50" s="14">
        <f t="shared" si="1"/>
        <v>4509542.411</v>
      </c>
      <c r="E50" s="85">
        <f>C50*(B50*Save_Sold_Base+(1-B50)*Save_Unsold)/10^7</f>
        <v>55.88519848</v>
      </c>
      <c r="F50" s="85">
        <f>C50*(B50*Save_Sold_High+(1-B50)*Save_Unsold)/10^7</f>
        <v>51.37565607</v>
      </c>
      <c r="G50" s="85">
        <f>-Running_M/10^7</f>
        <v>-0.06</v>
      </c>
      <c r="H50" s="85">
        <f>IF(A50=1,-OneTime/10^7,0)</f>
        <v>0</v>
      </c>
      <c r="I50" s="85">
        <f t="shared" si="2"/>
        <v>55.82519848</v>
      </c>
      <c r="J50" s="85">
        <f t="shared" si="4"/>
        <v>969.1944932</v>
      </c>
      <c r="K50" s="85">
        <f t="shared" si="3"/>
        <v>51.31565607</v>
      </c>
      <c r="L50" s="85">
        <f t="shared" si="5"/>
        <v>889.8265468</v>
      </c>
    </row>
    <row r="51" ht="15.0" customHeight="1">
      <c r="A51" s="84">
        <v>23.0</v>
      </c>
      <c r="B51" s="17">
        <f>IF(A51&gt;=Ramp,ST_Target,ST_Start+(ST_Target-ST_Start)*(A51-1)/MAX(1,Ramp-1))</f>
        <v>0.375</v>
      </c>
      <c r="C51" s="14">
        <f>Routed_Day*365/12</f>
        <v>12025446.43</v>
      </c>
      <c r="D51" s="14">
        <f t="shared" si="1"/>
        <v>4509542.411</v>
      </c>
      <c r="E51" s="85">
        <f>C51*(B51*Save_Sold_Base+(1-B51)*Save_Unsold)/10^7</f>
        <v>55.88519848</v>
      </c>
      <c r="F51" s="85">
        <f>C51*(B51*Save_Sold_High+(1-B51)*Save_Unsold)/10^7</f>
        <v>51.37565607</v>
      </c>
      <c r="G51" s="85">
        <f>-Running_M/10^7</f>
        <v>-0.06</v>
      </c>
      <c r="H51" s="85">
        <f>IF(A51=1,-OneTime/10^7,0)</f>
        <v>0</v>
      </c>
      <c r="I51" s="85">
        <f t="shared" si="2"/>
        <v>55.82519848</v>
      </c>
      <c r="J51" s="85">
        <f t="shared" si="4"/>
        <v>1025.019692</v>
      </c>
      <c r="K51" s="85">
        <f t="shared" si="3"/>
        <v>51.31565607</v>
      </c>
      <c r="L51" s="85">
        <f t="shared" si="5"/>
        <v>941.1422028</v>
      </c>
    </row>
    <row r="52" ht="15.0" customHeight="1">
      <c r="A52" s="84">
        <v>24.0</v>
      </c>
      <c r="B52" s="17">
        <f>IF(A52&gt;=Ramp,ST_Target,ST_Start+(ST_Target-ST_Start)*(A52-1)/MAX(1,Ramp-1))</f>
        <v>0.375</v>
      </c>
      <c r="C52" s="14">
        <f>Routed_Day*365/12</f>
        <v>12025446.43</v>
      </c>
      <c r="D52" s="14">
        <f t="shared" si="1"/>
        <v>4509542.411</v>
      </c>
      <c r="E52" s="85">
        <f>C52*(B52*Save_Sold_Base+(1-B52)*Save_Unsold)/10^7</f>
        <v>55.88519848</v>
      </c>
      <c r="F52" s="85">
        <f>C52*(B52*Save_Sold_High+(1-B52)*Save_Unsold)/10^7</f>
        <v>51.37565607</v>
      </c>
      <c r="G52" s="85">
        <f>-Running_M/10^7</f>
        <v>-0.06</v>
      </c>
      <c r="H52" s="85">
        <f>IF(A52=1,-OneTime/10^7,0)</f>
        <v>0</v>
      </c>
      <c r="I52" s="85">
        <f t="shared" si="2"/>
        <v>55.82519848</v>
      </c>
      <c r="J52" s="85">
        <f t="shared" si="4"/>
        <v>1080.84489</v>
      </c>
      <c r="K52" s="85">
        <f t="shared" si="3"/>
        <v>51.31565607</v>
      </c>
      <c r="L52" s="85">
        <f t="shared" si="5"/>
        <v>992.4578589</v>
      </c>
    </row>
    <row r="53" ht="15.0" customHeight="1">
      <c r="A53" s="84">
        <v>25.0</v>
      </c>
      <c r="B53" s="17">
        <f>IF(A53&gt;=Ramp,ST_Target,ST_Start+(ST_Target-ST_Start)*(A53-1)/MAX(1,Ramp-1))</f>
        <v>0.375</v>
      </c>
      <c r="C53" s="14">
        <f>Routed_Day*365/12</f>
        <v>12025446.43</v>
      </c>
      <c r="D53" s="14">
        <f t="shared" si="1"/>
        <v>4509542.411</v>
      </c>
      <c r="E53" s="85">
        <f>C53*(B53*Save_Sold_Base+(1-B53)*Save_Unsold)/10^7</f>
        <v>55.88519848</v>
      </c>
      <c r="F53" s="85">
        <f>C53*(B53*Save_Sold_High+(1-B53)*Save_Unsold)/10^7</f>
        <v>51.37565607</v>
      </c>
      <c r="G53" s="85">
        <f>-Running_M/10^7</f>
        <v>-0.06</v>
      </c>
      <c r="H53" s="85">
        <f>IF(A53=1,-OneTime/10^7,0)</f>
        <v>0</v>
      </c>
      <c r="I53" s="85">
        <f t="shared" si="2"/>
        <v>55.82519848</v>
      </c>
      <c r="J53" s="85">
        <f t="shared" si="4"/>
        <v>1136.670089</v>
      </c>
      <c r="K53" s="85">
        <f t="shared" si="3"/>
        <v>51.31565607</v>
      </c>
      <c r="L53" s="85">
        <f t="shared" si="5"/>
        <v>1043.773515</v>
      </c>
    </row>
    <row r="54" ht="15.0" customHeight="1">
      <c r="A54" s="84">
        <v>26.0</v>
      </c>
      <c r="B54" s="17">
        <f>IF(A54&gt;=Ramp,ST_Target,ST_Start+(ST_Target-ST_Start)*(A54-1)/MAX(1,Ramp-1))</f>
        <v>0.375</v>
      </c>
      <c r="C54" s="14">
        <f>Routed_Day*365/12</f>
        <v>12025446.43</v>
      </c>
      <c r="D54" s="14">
        <f t="shared" si="1"/>
        <v>4509542.411</v>
      </c>
      <c r="E54" s="85">
        <f>C54*(B54*Save_Sold_Base+(1-B54)*Save_Unsold)/10^7</f>
        <v>55.88519848</v>
      </c>
      <c r="F54" s="85">
        <f>C54*(B54*Save_Sold_High+(1-B54)*Save_Unsold)/10^7</f>
        <v>51.37565607</v>
      </c>
      <c r="G54" s="85">
        <f>-Running_M/10^7</f>
        <v>-0.06</v>
      </c>
      <c r="H54" s="85">
        <f>IF(A54=1,-OneTime/10^7,0)</f>
        <v>0</v>
      </c>
      <c r="I54" s="85">
        <f t="shared" si="2"/>
        <v>55.82519848</v>
      </c>
      <c r="J54" s="85">
        <f t="shared" si="4"/>
        <v>1192.495287</v>
      </c>
      <c r="K54" s="85">
        <f t="shared" si="3"/>
        <v>51.31565607</v>
      </c>
      <c r="L54" s="85">
        <f t="shared" si="5"/>
        <v>1095.089171</v>
      </c>
    </row>
    <row r="55" ht="15.0" customHeight="1">
      <c r="A55" s="84">
        <v>27.0</v>
      </c>
      <c r="B55" s="17">
        <f>IF(A55&gt;=Ramp,ST_Target,ST_Start+(ST_Target-ST_Start)*(A55-1)/MAX(1,Ramp-1))</f>
        <v>0.375</v>
      </c>
      <c r="C55" s="14">
        <f>Routed_Day*365/12</f>
        <v>12025446.43</v>
      </c>
      <c r="D55" s="14">
        <f t="shared" si="1"/>
        <v>4509542.411</v>
      </c>
      <c r="E55" s="85">
        <f>C55*(B55*Save_Sold_Base+(1-B55)*Save_Unsold)/10^7</f>
        <v>55.88519848</v>
      </c>
      <c r="F55" s="85">
        <f>C55*(B55*Save_Sold_High+(1-B55)*Save_Unsold)/10^7</f>
        <v>51.37565607</v>
      </c>
      <c r="G55" s="85">
        <f>-Running_M/10^7</f>
        <v>-0.06</v>
      </c>
      <c r="H55" s="85">
        <f>IF(A55=1,-OneTime/10^7,0)</f>
        <v>0</v>
      </c>
      <c r="I55" s="85">
        <f t="shared" si="2"/>
        <v>55.82519848</v>
      </c>
      <c r="J55" s="85">
        <f t="shared" si="4"/>
        <v>1248.320486</v>
      </c>
      <c r="K55" s="85">
        <f t="shared" si="3"/>
        <v>51.31565607</v>
      </c>
      <c r="L55" s="85">
        <f t="shared" si="5"/>
        <v>1146.404827</v>
      </c>
    </row>
    <row r="56" ht="15.0" customHeight="1">
      <c r="A56" s="84">
        <v>28.0</v>
      </c>
      <c r="B56" s="17">
        <f>IF(A56&gt;=Ramp,ST_Target,ST_Start+(ST_Target-ST_Start)*(A56-1)/MAX(1,Ramp-1))</f>
        <v>0.375</v>
      </c>
      <c r="C56" s="14">
        <f>Routed_Day*365/12</f>
        <v>12025446.43</v>
      </c>
      <c r="D56" s="14">
        <f t="shared" si="1"/>
        <v>4509542.411</v>
      </c>
      <c r="E56" s="85">
        <f>C56*(B56*Save_Sold_Base+(1-B56)*Save_Unsold)/10^7</f>
        <v>55.88519848</v>
      </c>
      <c r="F56" s="85">
        <f>C56*(B56*Save_Sold_High+(1-B56)*Save_Unsold)/10^7</f>
        <v>51.37565607</v>
      </c>
      <c r="G56" s="85">
        <f>-Running_M/10^7</f>
        <v>-0.06</v>
      </c>
      <c r="H56" s="85">
        <f>IF(A56=1,-OneTime/10^7,0)</f>
        <v>0</v>
      </c>
      <c r="I56" s="85">
        <f t="shared" si="2"/>
        <v>55.82519848</v>
      </c>
      <c r="J56" s="85">
        <f t="shared" si="4"/>
        <v>1304.145684</v>
      </c>
      <c r="K56" s="85">
        <f t="shared" si="3"/>
        <v>51.31565607</v>
      </c>
      <c r="L56" s="85">
        <f t="shared" si="5"/>
        <v>1197.720483</v>
      </c>
    </row>
    <row r="57" ht="15.0" customHeight="1">
      <c r="A57" s="84">
        <v>29.0</v>
      </c>
      <c r="B57" s="17">
        <f>IF(A57&gt;=Ramp,ST_Target,ST_Start+(ST_Target-ST_Start)*(A57-1)/MAX(1,Ramp-1))</f>
        <v>0.375</v>
      </c>
      <c r="C57" s="14">
        <f>Routed_Day*365/12</f>
        <v>12025446.43</v>
      </c>
      <c r="D57" s="14">
        <f t="shared" si="1"/>
        <v>4509542.411</v>
      </c>
      <c r="E57" s="85">
        <f>C57*(B57*Save_Sold_Base+(1-B57)*Save_Unsold)/10^7</f>
        <v>55.88519848</v>
      </c>
      <c r="F57" s="85">
        <f>C57*(B57*Save_Sold_High+(1-B57)*Save_Unsold)/10^7</f>
        <v>51.37565607</v>
      </c>
      <c r="G57" s="85">
        <f>-Running_M/10^7</f>
        <v>-0.06</v>
      </c>
      <c r="H57" s="85">
        <f>IF(A57=1,-OneTime/10^7,0)</f>
        <v>0</v>
      </c>
      <c r="I57" s="85">
        <f t="shared" si="2"/>
        <v>55.82519848</v>
      </c>
      <c r="J57" s="85">
        <f t="shared" si="4"/>
        <v>1359.970883</v>
      </c>
      <c r="K57" s="85">
        <f t="shared" si="3"/>
        <v>51.31565607</v>
      </c>
      <c r="L57" s="85">
        <f t="shared" si="5"/>
        <v>1249.036139</v>
      </c>
    </row>
    <row r="58" ht="15.0" customHeight="1">
      <c r="A58" s="84">
        <v>30.0</v>
      </c>
      <c r="B58" s="17">
        <f>IF(A58&gt;=Ramp,ST_Target,ST_Start+(ST_Target-ST_Start)*(A58-1)/MAX(1,Ramp-1))</f>
        <v>0.375</v>
      </c>
      <c r="C58" s="14">
        <f>Routed_Day*365/12</f>
        <v>12025446.43</v>
      </c>
      <c r="D58" s="14">
        <f t="shared" si="1"/>
        <v>4509542.411</v>
      </c>
      <c r="E58" s="85">
        <f>C58*(B58*Save_Sold_Base+(1-B58)*Save_Unsold)/10^7</f>
        <v>55.88519848</v>
      </c>
      <c r="F58" s="85">
        <f>C58*(B58*Save_Sold_High+(1-B58)*Save_Unsold)/10^7</f>
        <v>51.37565607</v>
      </c>
      <c r="G58" s="85">
        <f>-Running_M/10^7</f>
        <v>-0.06</v>
      </c>
      <c r="H58" s="85">
        <f>IF(A58=1,-OneTime/10^7,0)</f>
        <v>0</v>
      </c>
      <c r="I58" s="85">
        <f t="shared" si="2"/>
        <v>55.82519848</v>
      </c>
      <c r="J58" s="85">
        <f t="shared" si="4"/>
        <v>1415.796081</v>
      </c>
      <c r="K58" s="85">
        <f t="shared" si="3"/>
        <v>51.31565607</v>
      </c>
      <c r="L58" s="85">
        <f t="shared" si="5"/>
        <v>1300.351795</v>
      </c>
    </row>
    <row r="59" ht="15.0" customHeight="1">
      <c r="A59" s="84">
        <v>31.0</v>
      </c>
      <c r="B59" s="17">
        <f>IF(A59&gt;=Ramp,ST_Target,ST_Start+(ST_Target-ST_Start)*(A59-1)/MAX(1,Ramp-1))</f>
        <v>0.375</v>
      </c>
      <c r="C59" s="14">
        <f>Routed_Day*365/12</f>
        <v>12025446.43</v>
      </c>
      <c r="D59" s="14">
        <f t="shared" si="1"/>
        <v>4509542.411</v>
      </c>
      <c r="E59" s="85">
        <f>C59*(B59*Save_Sold_Base+(1-B59)*Save_Unsold)/10^7</f>
        <v>55.88519848</v>
      </c>
      <c r="F59" s="85">
        <f>C59*(B59*Save_Sold_High+(1-B59)*Save_Unsold)/10^7</f>
        <v>51.37565607</v>
      </c>
      <c r="G59" s="85">
        <f>-Running_M/10^7</f>
        <v>-0.06</v>
      </c>
      <c r="H59" s="85">
        <f>IF(A59=1,-OneTime/10^7,0)</f>
        <v>0</v>
      </c>
      <c r="I59" s="85">
        <f t="shared" si="2"/>
        <v>55.82519848</v>
      </c>
      <c r="J59" s="85">
        <f t="shared" si="4"/>
        <v>1471.621279</v>
      </c>
      <c r="K59" s="85">
        <f t="shared" si="3"/>
        <v>51.31565607</v>
      </c>
      <c r="L59" s="85">
        <f t="shared" si="5"/>
        <v>1351.667451</v>
      </c>
    </row>
    <row r="60" ht="15.0" customHeight="1">
      <c r="A60" s="84">
        <v>32.0</v>
      </c>
      <c r="B60" s="17">
        <f>IF(A60&gt;=Ramp,ST_Target,ST_Start+(ST_Target-ST_Start)*(A60-1)/MAX(1,Ramp-1))</f>
        <v>0.375</v>
      </c>
      <c r="C60" s="14">
        <f>Routed_Day*365/12</f>
        <v>12025446.43</v>
      </c>
      <c r="D60" s="14">
        <f t="shared" si="1"/>
        <v>4509542.411</v>
      </c>
      <c r="E60" s="85">
        <f>C60*(B60*Save_Sold_Base+(1-B60)*Save_Unsold)/10^7</f>
        <v>55.88519848</v>
      </c>
      <c r="F60" s="85">
        <f>C60*(B60*Save_Sold_High+(1-B60)*Save_Unsold)/10^7</f>
        <v>51.37565607</v>
      </c>
      <c r="G60" s="85">
        <f>-Running_M/10^7</f>
        <v>-0.06</v>
      </c>
      <c r="H60" s="85">
        <f>IF(A60=1,-OneTime/10^7,0)</f>
        <v>0</v>
      </c>
      <c r="I60" s="85">
        <f t="shared" si="2"/>
        <v>55.82519848</v>
      </c>
      <c r="J60" s="85">
        <f t="shared" si="4"/>
        <v>1527.446478</v>
      </c>
      <c r="K60" s="85">
        <f t="shared" si="3"/>
        <v>51.31565607</v>
      </c>
      <c r="L60" s="85">
        <f t="shared" si="5"/>
        <v>1402.983107</v>
      </c>
    </row>
    <row r="61" ht="15.0" customHeight="1">
      <c r="A61" s="84">
        <v>33.0</v>
      </c>
      <c r="B61" s="17">
        <f>IF(A61&gt;=Ramp,ST_Target,ST_Start+(ST_Target-ST_Start)*(A61-1)/MAX(1,Ramp-1))</f>
        <v>0.375</v>
      </c>
      <c r="C61" s="14">
        <f>Routed_Day*365/12</f>
        <v>12025446.43</v>
      </c>
      <c r="D61" s="14">
        <f t="shared" si="1"/>
        <v>4509542.411</v>
      </c>
      <c r="E61" s="85">
        <f>C61*(B61*Save_Sold_Base+(1-B61)*Save_Unsold)/10^7</f>
        <v>55.88519848</v>
      </c>
      <c r="F61" s="85">
        <f>C61*(B61*Save_Sold_High+(1-B61)*Save_Unsold)/10^7</f>
        <v>51.37565607</v>
      </c>
      <c r="G61" s="85">
        <f>-Running_M/10^7</f>
        <v>-0.06</v>
      </c>
      <c r="H61" s="85">
        <f>IF(A61=1,-OneTime/10^7,0)</f>
        <v>0</v>
      </c>
      <c r="I61" s="85">
        <f t="shared" si="2"/>
        <v>55.82519848</v>
      </c>
      <c r="J61" s="85">
        <f t="shared" si="4"/>
        <v>1583.271676</v>
      </c>
      <c r="K61" s="85">
        <f t="shared" si="3"/>
        <v>51.31565607</v>
      </c>
      <c r="L61" s="85">
        <f t="shared" si="5"/>
        <v>1454.298763</v>
      </c>
    </row>
    <row r="62" ht="15.0" customHeight="1">
      <c r="A62" s="84">
        <v>34.0</v>
      </c>
      <c r="B62" s="17">
        <f>IF(A62&gt;=Ramp,ST_Target,ST_Start+(ST_Target-ST_Start)*(A62-1)/MAX(1,Ramp-1))</f>
        <v>0.375</v>
      </c>
      <c r="C62" s="14">
        <f>Routed_Day*365/12</f>
        <v>12025446.43</v>
      </c>
      <c r="D62" s="14">
        <f t="shared" si="1"/>
        <v>4509542.411</v>
      </c>
      <c r="E62" s="85">
        <f>C62*(B62*Save_Sold_Base+(1-B62)*Save_Unsold)/10^7</f>
        <v>55.88519848</v>
      </c>
      <c r="F62" s="85">
        <f>C62*(B62*Save_Sold_High+(1-B62)*Save_Unsold)/10^7</f>
        <v>51.37565607</v>
      </c>
      <c r="G62" s="85">
        <f>-Running_M/10^7</f>
        <v>-0.06</v>
      </c>
      <c r="H62" s="85">
        <f>IF(A62=1,-OneTime/10^7,0)</f>
        <v>0</v>
      </c>
      <c r="I62" s="85">
        <f t="shared" si="2"/>
        <v>55.82519848</v>
      </c>
      <c r="J62" s="85">
        <f t="shared" si="4"/>
        <v>1639.096875</v>
      </c>
      <c r="K62" s="85">
        <f t="shared" si="3"/>
        <v>51.31565607</v>
      </c>
      <c r="L62" s="85">
        <f t="shared" si="5"/>
        <v>1505.61442</v>
      </c>
    </row>
    <row r="63" ht="15.0" customHeight="1">
      <c r="A63" s="84">
        <v>35.0</v>
      </c>
      <c r="B63" s="17">
        <f>IF(A63&gt;=Ramp,ST_Target,ST_Start+(ST_Target-ST_Start)*(A63-1)/MAX(1,Ramp-1))</f>
        <v>0.375</v>
      </c>
      <c r="C63" s="14">
        <f>Routed_Day*365/12</f>
        <v>12025446.43</v>
      </c>
      <c r="D63" s="14">
        <f t="shared" si="1"/>
        <v>4509542.411</v>
      </c>
      <c r="E63" s="85">
        <f>C63*(B63*Save_Sold_Base+(1-B63)*Save_Unsold)/10^7</f>
        <v>55.88519848</v>
      </c>
      <c r="F63" s="85">
        <f>C63*(B63*Save_Sold_High+(1-B63)*Save_Unsold)/10^7</f>
        <v>51.37565607</v>
      </c>
      <c r="G63" s="85">
        <f>-Running_M/10^7</f>
        <v>-0.06</v>
      </c>
      <c r="H63" s="85">
        <f>IF(A63=1,-OneTime/10^7,0)</f>
        <v>0</v>
      </c>
      <c r="I63" s="85">
        <f t="shared" si="2"/>
        <v>55.82519848</v>
      </c>
      <c r="J63" s="85">
        <f t="shared" si="4"/>
        <v>1694.922073</v>
      </c>
      <c r="K63" s="85">
        <f t="shared" si="3"/>
        <v>51.31565607</v>
      </c>
      <c r="L63" s="85">
        <f t="shared" si="5"/>
        <v>1556.930076</v>
      </c>
    </row>
    <row r="64" ht="15.0" customHeight="1">
      <c r="A64" s="84">
        <v>36.0</v>
      </c>
      <c r="B64" s="17">
        <f>IF(A64&gt;=Ramp,ST_Target,ST_Start+(ST_Target-ST_Start)*(A64-1)/MAX(1,Ramp-1))</f>
        <v>0.375</v>
      </c>
      <c r="C64" s="14">
        <f>Routed_Day*365/12</f>
        <v>12025446.43</v>
      </c>
      <c r="D64" s="14">
        <f t="shared" si="1"/>
        <v>4509542.411</v>
      </c>
      <c r="E64" s="85">
        <f>C64*(B64*Save_Sold_Base+(1-B64)*Save_Unsold)/10^7</f>
        <v>55.88519848</v>
      </c>
      <c r="F64" s="85">
        <f>C64*(B64*Save_Sold_High+(1-B64)*Save_Unsold)/10^7</f>
        <v>51.37565607</v>
      </c>
      <c r="G64" s="85">
        <f>-Running_M/10^7</f>
        <v>-0.06</v>
      </c>
      <c r="H64" s="85">
        <f>IF(A64=1,-OneTime/10^7,0)</f>
        <v>0</v>
      </c>
      <c r="I64" s="85">
        <f t="shared" si="2"/>
        <v>55.82519848</v>
      </c>
      <c r="J64" s="85">
        <f t="shared" si="4"/>
        <v>1750.747272</v>
      </c>
      <c r="K64" s="85">
        <f t="shared" si="3"/>
        <v>51.31565607</v>
      </c>
      <c r="L64" s="85">
        <f t="shared" si="5"/>
        <v>1608.245732</v>
      </c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0:B10"/>
    <mergeCell ref="A16:E16"/>
    <mergeCell ref="A27:L27"/>
    <mergeCell ref="A2:H2"/>
    <mergeCell ref="C3:H3"/>
    <mergeCell ref="C4:H4"/>
    <mergeCell ref="C5:H5"/>
    <mergeCell ref="C6:H6"/>
    <mergeCell ref="C7:H7"/>
    <mergeCell ref="C8:H8"/>
  </mergeCells>
  <printOptions/>
  <pageMargins bottom="1.0" footer="0.0" header="0.0" left="0.75" right="0.75" top="1.0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597"/>
    <pageSetUpPr fitToPage="1"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5" width="17.0"/>
    <col customWidth="1" min="6" max="6" width="14.43"/>
  </cols>
  <sheetData>
    <row r="1" ht="19.5" customHeight="1">
      <c r="A1" s="1" t="s">
        <v>302</v>
      </c>
      <c r="B1" s="5"/>
      <c r="C1" s="5"/>
      <c r="D1" s="5"/>
      <c r="E1" s="5"/>
    </row>
    <row r="2" ht="15.0" customHeight="1">
      <c r="A2" s="7" t="s">
        <v>303</v>
      </c>
      <c r="B2" s="10"/>
      <c r="C2" s="10"/>
      <c r="D2" s="10"/>
      <c r="E2" s="10"/>
    </row>
    <row r="3" ht="15.0" customHeight="1">
      <c r="A3" s="8" t="s">
        <v>246</v>
      </c>
      <c r="B3" s="8" t="s">
        <v>13</v>
      </c>
      <c r="C3" s="8" t="s">
        <v>14</v>
      </c>
      <c r="D3" s="8"/>
      <c r="E3" s="8"/>
    </row>
    <row r="4" ht="15.0" customHeight="1">
      <c r="A4" s="86">
        <v>0.0</v>
      </c>
      <c r="B4" s="32">
        <f>A4*Save_Sold_Base+(1-A4)*Save_Unsold</f>
        <v>-2.276422764</v>
      </c>
      <c r="C4" s="32">
        <f>A4*Save_Sold_High+(1-A4)*Save_Unsold</f>
        <v>-2.276422764</v>
      </c>
      <c r="D4" s="20"/>
      <c r="E4" s="20"/>
    </row>
    <row r="5" ht="15.0" customHeight="1">
      <c r="A5" s="86">
        <v>0.1</v>
      </c>
      <c r="B5" s="32">
        <f>A5*Save_Sold_Base+(1-A5)*Save_Unsold</f>
        <v>10.72327724</v>
      </c>
      <c r="C5" s="32">
        <f>A5*Save_Sold_High+(1-A5)*Save_Unsold</f>
        <v>9.723277236</v>
      </c>
      <c r="D5" s="20"/>
      <c r="E5" s="20"/>
    </row>
    <row r="6" ht="15.0" customHeight="1">
      <c r="A6" s="86">
        <v>0.2</v>
      </c>
      <c r="B6" s="32">
        <f>A6*Save_Sold_Base+(1-A6)*Save_Unsold</f>
        <v>23.72297724</v>
      </c>
      <c r="C6" s="32">
        <f>A6*Save_Sold_High+(1-A6)*Save_Unsold</f>
        <v>21.72297724</v>
      </c>
      <c r="D6" s="20"/>
      <c r="E6" s="20"/>
    </row>
    <row r="7" ht="15.0" customHeight="1">
      <c r="A7" s="86">
        <v>0.3</v>
      </c>
      <c r="B7" s="32">
        <f>A7*Save_Sold_Base+(1-A7)*Save_Unsold</f>
        <v>36.72267724</v>
      </c>
      <c r="C7" s="32">
        <f>A7*Save_Sold_High+(1-A7)*Save_Unsold</f>
        <v>33.72267724</v>
      </c>
      <c r="D7" s="20"/>
      <c r="E7" s="20"/>
    </row>
    <row r="8" ht="15.0" customHeight="1">
      <c r="A8" s="86">
        <v>0.375</v>
      </c>
      <c r="B8" s="32">
        <f>A8*Save_Sold_Base+(1-A8)*Save_Unsold</f>
        <v>46.47245224</v>
      </c>
      <c r="C8" s="32">
        <f>A8*Save_Sold_High+(1-A8)*Save_Unsold</f>
        <v>42.72245224</v>
      </c>
      <c r="D8" s="20"/>
      <c r="E8" s="20"/>
    </row>
    <row r="9" ht="15.0" customHeight="1">
      <c r="A9" s="86">
        <v>0.5</v>
      </c>
      <c r="B9" s="32">
        <f>A9*Save_Sold_Base+(1-A9)*Save_Unsold</f>
        <v>62.72207724</v>
      </c>
      <c r="C9" s="32">
        <f>A9*Save_Sold_High+(1-A9)*Save_Unsold</f>
        <v>57.72207724</v>
      </c>
      <c r="D9" s="20"/>
      <c r="E9" s="20"/>
    </row>
    <row r="10" ht="15.0" customHeight="1">
      <c r="A10" s="86">
        <v>0.75</v>
      </c>
      <c r="B10" s="32">
        <f>A10*Save_Sold_Base+(1-A10)*Save_Unsold</f>
        <v>95.22132724</v>
      </c>
      <c r="C10" s="32">
        <f>A10*Save_Sold_High+(1-A10)*Save_Unsold</f>
        <v>87.72132724</v>
      </c>
      <c r="D10" s="20"/>
      <c r="E10" s="20"/>
    </row>
    <row r="11" ht="15.0" customHeight="1">
      <c r="A11" s="86">
        <v>1.0</v>
      </c>
      <c r="B11" s="32">
        <f>A11*Save_Sold_Base+(1-A11)*Save_Unsold</f>
        <v>127.7205772</v>
      </c>
      <c r="C11" s="32">
        <f>A11*Save_Sold_High+(1-A11)*Save_Unsold</f>
        <v>117.7205772</v>
      </c>
      <c r="D11" s="20"/>
      <c r="E11" s="20"/>
    </row>
    <row r="12">
      <c r="A12" s="5"/>
      <c r="B12" s="5"/>
      <c r="C12" s="5"/>
      <c r="D12" s="5"/>
      <c r="E12" s="5"/>
    </row>
    <row r="13" ht="15.0" customHeight="1">
      <c r="A13" s="7" t="s">
        <v>304</v>
      </c>
      <c r="B13" s="10"/>
      <c r="C13" s="10"/>
      <c r="D13" s="10"/>
      <c r="E13" s="10"/>
    </row>
    <row r="14" ht="23.25" customHeight="1">
      <c r="A14" s="8" t="s">
        <v>246</v>
      </c>
      <c r="B14" s="8" t="s">
        <v>13</v>
      </c>
      <c r="C14" s="8" t="s">
        <v>14</v>
      </c>
      <c r="D14" s="8" t="s">
        <v>305</v>
      </c>
      <c r="E14" s="8" t="s">
        <v>306</v>
      </c>
    </row>
    <row r="15" ht="15.0" customHeight="1">
      <c r="A15" s="86">
        <v>0.1</v>
      </c>
      <c r="B15" s="85">
        <f>(Routed_Day*365*(A15*Save_Sold_Base+(1-A15)*Save_Unsold)-12*Running_M)/10^7</f>
        <v>154.0226351</v>
      </c>
      <c r="C15" s="85">
        <f>(Routed_Day*365*(A15*Save_Sold_High+(1-A15)*Save_Unsold)-12*Running_M)/10^7</f>
        <v>139.5920994</v>
      </c>
      <c r="D15" s="81">
        <f>Routed_Day*365*A15/10^5</f>
        <v>144.3053571</v>
      </c>
      <c r="E15" s="17">
        <f>Routed_Day*A15/RTO_Day</f>
        <v>0.05537214886</v>
      </c>
    </row>
    <row r="16" ht="15.0" customHeight="1">
      <c r="A16" s="86">
        <v>0.25</v>
      </c>
      <c r="B16" s="85">
        <f>(Routed_Day*365*(A16*Save_Sold_Base+(1-A16)*Save_Unsold)-12*Running_M)/10^7</f>
        <v>435.4115878</v>
      </c>
      <c r="C16" s="85">
        <f>(Routed_Day*365*(A16*Save_Sold_High+(1-A16)*Save_Unsold)-12*Running_M)/10^7</f>
        <v>399.3352485</v>
      </c>
      <c r="D16" s="81">
        <f>Routed_Day*365*A16/10^5</f>
        <v>360.7633929</v>
      </c>
      <c r="E16" s="17">
        <f>Routed_Day*A16/RTO_Day</f>
        <v>0.1384303721</v>
      </c>
    </row>
    <row r="17" ht="15.0" customHeight="1">
      <c r="A17" s="86">
        <v>0.375</v>
      </c>
      <c r="B17" s="85">
        <f>(Routed_Day*365*(A17*Save_Sold_Base+(1-A17)*Save_Unsold)-12*Running_M)/10^7</f>
        <v>669.9023817</v>
      </c>
      <c r="C17" s="85">
        <f>(Routed_Day*365*(A17*Save_Sold_High+(1-A17)*Save_Unsold)-12*Running_M)/10^7</f>
        <v>615.7878728</v>
      </c>
      <c r="D17" s="81">
        <f>Routed_Day*365*A17/10^5</f>
        <v>541.1450893</v>
      </c>
      <c r="E17" s="17">
        <f>Routed_Day*A17/RTO_Day</f>
        <v>0.2076455582</v>
      </c>
    </row>
    <row r="18" ht="15.0" customHeight="1">
      <c r="A18" s="86">
        <v>0.5</v>
      </c>
      <c r="B18" s="85">
        <f>(Routed_Day*365*(A18*Save_Sold_Base+(1-A18)*Save_Unsold)-12*Running_M)/10^7</f>
        <v>904.3931756</v>
      </c>
      <c r="C18" s="85">
        <f>(Routed_Day*365*(A18*Save_Sold_High+(1-A18)*Save_Unsold)-12*Running_M)/10^7</f>
        <v>832.2404971</v>
      </c>
      <c r="D18" s="81">
        <f>Routed_Day*365*A18/10^5</f>
        <v>721.5267857</v>
      </c>
      <c r="E18" s="17">
        <f>Routed_Day*A18/RTO_Day</f>
        <v>0.2768607443</v>
      </c>
    </row>
    <row r="19" ht="15.0" customHeight="1">
      <c r="A19" s="86">
        <v>0.75</v>
      </c>
      <c r="B19" s="85">
        <f>(Routed_Day*365*(A19*Save_Sold_Base+(1-A19)*Save_Unsold)-12*Running_M)/10^7</f>
        <v>1373.374763</v>
      </c>
      <c r="C19" s="85">
        <f>(Routed_Day*365*(A19*Save_Sold_High+(1-A19)*Save_Unsold)-12*Running_M)/10^7</f>
        <v>1265.145746</v>
      </c>
      <c r="D19" s="81">
        <f>Routed_Day*365*A19/10^5</f>
        <v>1082.290179</v>
      </c>
      <c r="E19" s="17">
        <f>Routed_Day*A19/RTO_Day</f>
        <v>0.4152911164</v>
      </c>
    </row>
    <row r="20">
      <c r="A20" s="5"/>
      <c r="B20" s="5"/>
      <c r="C20" s="5"/>
      <c r="D20" s="5"/>
      <c r="E20" s="5"/>
    </row>
    <row r="21" ht="15.0" customHeight="1">
      <c r="A21" s="7" t="s">
        <v>307</v>
      </c>
      <c r="B21" s="10"/>
      <c r="C21" s="10"/>
      <c r="D21" s="10"/>
      <c r="E21" s="10"/>
    </row>
    <row r="22" ht="23.25" customHeight="1">
      <c r="A22" s="8" t="s">
        <v>308</v>
      </c>
      <c r="B22" s="8" t="s">
        <v>13</v>
      </c>
      <c r="C22" s="8" t="s">
        <v>14</v>
      </c>
      <c r="D22" s="8" t="s">
        <v>309</v>
      </c>
      <c r="E22" s="8"/>
    </row>
    <row r="23" ht="15.0" customHeight="1">
      <c r="A23" s="86">
        <v>0.0</v>
      </c>
      <c r="B23" s="85">
        <f>(Routed_Day*365*(ST_Target*(Save_Sold_Base-(A23-TierB_Share)*(TierB_Extra+TierB_Transfer))+(1-ST_Target)*Save_Unsold)-12*Running_M)/10^7</f>
        <v>705.0768125</v>
      </c>
      <c r="C23" s="85">
        <f>(Routed_Day*365*(ST_Target*(Save_Sold_High-(A23-TierB_Share)*(TierB_Extra+TierB_Transfer))+(1-ST_Target)*Save_Unsold)-12*Running_M)/10^7</f>
        <v>650.9623036</v>
      </c>
      <c r="D23" s="32">
        <f>A23*(TierB_Extra+TierB_Transfer)</f>
        <v>0</v>
      </c>
      <c r="E23" s="20"/>
    </row>
    <row r="24" ht="15.0" customHeight="1">
      <c r="A24" s="86">
        <v>0.1</v>
      </c>
      <c r="B24" s="85">
        <f>(Routed_Day*365*(ST_Target*(Save_Sold_Base-(A24-TierB_Share)*(TierB_Extra+TierB_Transfer))+(1-ST_Target)*Save_Unsold)-12*Running_M)/10^7</f>
        <v>691.0070402</v>
      </c>
      <c r="C24" s="85">
        <f>(Routed_Day*365*(ST_Target*(Save_Sold_High-(A24-TierB_Share)*(TierB_Extra+TierB_Transfer))+(1-ST_Target)*Save_Unsold)-12*Running_M)/10^7</f>
        <v>636.8925313</v>
      </c>
      <c r="D24" s="32">
        <f>A24*(TierB_Extra+TierB_Transfer)</f>
        <v>2.6</v>
      </c>
      <c r="E24" s="20"/>
    </row>
    <row r="25" ht="15.0" customHeight="1">
      <c r="A25" s="86">
        <v>0.25</v>
      </c>
      <c r="B25" s="85">
        <f>(Routed_Day*365*(ST_Target*(Save_Sold_Base-(A25-TierB_Share)*(TierB_Extra+TierB_Transfer))+(1-ST_Target)*Save_Unsold)-12*Running_M)/10^7</f>
        <v>669.9023817</v>
      </c>
      <c r="C25" s="85">
        <f>(Routed_Day*365*(ST_Target*(Save_Sold_High-(A25-TierB_Share)*(TierB_Extra+TierB_Transfer))+(1-ST_Target)*Save_Unsold)-12*Running_M)/10^7</f>
        <v>615.7878728</v>
      </c>
      <c r="D25" s="32">
        <f>A25*(TierB_Extra+TierB_Transfer)</f>
        <v>6.5</v>
      </c>
      <c r="E25" s="20"/>
    </row>
    <row r="26" ht="15.0" customHeight="1">
      <c r="A26" s="86">
        <v>0.5</v>
      </c>
      <c r="B26" s="85">
        <f>(Routed_Day*365*(ST_Target*(Save_Sold_Base-(A26-TierB_Share)*(TierB_Extra+TierB_Transfer))+(1-ST_Target)*Save_Unsold)-12*Running_M)/10^7</f>
        <v>634.7279509</v>
      </c>
      <c r="C26" s="85">
        <f>(Routed_Day*365*(ST_Target*(Save_Sold_High-(A26-TierB_Share)*(TierB_Extra+TierB_Transfer))+(1-ST_Target)*Save_Unsold)-12*Running_M)/10^7</f>
        <v>580.613442</v>
      </c>
      <c r="D26" s="32">
        <f>A26*(TierB_Extra+TierB_Transfer)</f>
        <v>13</v>
      </c>
      <c r="E26" s="20"/>
    </row>
    <row r="27" ht="15.0" customHeight="1">
      <c r="A27" s="86">
        <v>0.65</v>
      </c>
      <c r="B27" s="85">
        <f>(Routed_Day*365*(ST_Target*(Save_Sold_Base-(A27-TierB_Share)*(TierB_Extra+TierB_Transfer))+(1-ST_Target)*Save_Unsold)-12*Running_M)/10^7</f>
        <v>613.6232924</v>
      </c>
      <c r="C27" s="85">
        <f>(Routed_Day*365*(ST_Target*(Save_Sold_High-(A27-TierB_Share)*(TierB_Extra+TierB_Transfer))+(1-ST_Target)*Save_Unsold)-12*Running_M)/10^7</f>
        <v>559.5087835</v>
      </c>
      <c r="D27" s="32">
        <f>A27*(TierB_Extra+TierB_Transfer)</f>
        <v>16.9</v>
      </c>
      <c r="E27" s="20"/>
    </row>
    <row r="28" ht="15.75" customHeight="1">
      <c r="A28" s="5"/>
      <c r="B28" s="5"/>
      <c r="C28" s="5"/>
      <c r="D28" s="5"/>
      <c r="E28" s="5"/>
    </row>
    <row r="29" ht="15.75" customHeight="1">
      <c r="A29" s="5"/>
      <c r="B29" s="5"/>
      <c r="C29" s="5"/>
      <c r="D29" s="5"/>
      <c r="E29" s="5"/>
    </row>
    <row r="30" ht="15.75" customHeight="1">
      <c r="A30" s="5"/>
      <c r="B30" s="5"/>
      <c r="C30" s="5"/>
      <c r="D30" s="5"/>
      <c r="E30" s="5"/>
    </row>
    <row r="31" ht="15.75" customHeight="1">
      <c r="A31" s="5"/>
      <c r="B31" s="5"/>
      <c r="C31" s="5"/>
      <c r="D31" s="5"/>
      <c r="E31" s="5"/>
    </row>
    <row r="32" ht="15.75" customHeight="1">
      <c r="A32" s="5"/>
      <c r="B32" s="5"/>
      <c r="C32" s="5"/>
      <c r="D32" s="5"/>
      <c r="E32" s="5"/>
    </row>
    <row r="33" ht="15.75" customHeight="1">
      <c r="A33" s="5"/>
      <c r="B33" s="5"/>
      <c r="C33" s="5"/>
      <c r="D33" s="5"/>
      <c r="E33" s="5"/>
    </row>
    <row r="34" ht="15.75" customHeight="1">
      <c r="A34" s="5"/>
      <c r="B34" s="5"/>
      <c r="C34" s="5"/>
      <c r="D34" s="5"/>
      <c r="E34" s="5"/>
    </row>
    <row r="35" ht="15.75" customHeight="1">
      <c r="A35" s="5"/>
      <c r="B35" s="5"/>
      <c r="C35" s="5"/>
      <c r="D35" s="5"/>
      <c r="E35" s="5"/>
    </row>
    <row r="36" ht="15.75" customHeight="1">
      <c r="A36" s="5"/>
      <c r="B36" s="5"/>
      <c r="C36" s="5"/>
      <c r="D36" s="5"/>
      <c r="E36" s="5"/>
    </row>
    <row r="37" ht="15.75" customHeight="1">
      <c r="A37" s="5"/>
      <c r="B37" s="5"/>
      <c r="C37" s="5"/>
      <c r="D37" s="5"/>
      <c r="E37" s="5"/>
    </row>
    <row r="38" ht="15.75" customHeight="1">
      <c r="A38" s="5"/>
      <c r="B38" s="5"/>
      <c r="C38" s="5"/>
      <c r="D38" s="5"/>
      <c r="E38" s="5"/>
    </row>
    <row r="39" ht="15.75" customHeight="1">
      <c r="A39" s="5"/>
      <c r="B39" s="5"/>
      <c r="C39" s="5"/>
      <c r="D39" s="5"/>
      <c r="E39" s="5"/>
    </row>
    <row r="40" ht="15.75" customHeight="1">
      <c r="A40" s="5"/>
      <c r="B40" s="5"/>
      <c r="C40" s="5"/>
      <c r="D40" s="5"/>
      <c r="E40" s="5"/>
    </row>
    <row r="41" ht="15.75" customHeight="1">
      <c r="A41" s="5"/>
      <c r="B41" s="5"/>
      <c r="C41" s="5"/>
      <c r="D41" s="5"/>
      <c r="E41" s="5"/>
    </row>
    <row r="42" ht="15.75" customHeight="1">
      <c r="A42" s="5"/>
      <c r="B42" s="5"/>
      <c r="C42" s="5"/>
      <c r="D42" s="5"/>
      <c r="E42" s="5"/>
    </row>
    <row r="43" ht="15.75" customHeight="1">
      <c r="A43" s="5"/>
      <c r="B43" s="5"/>
      <c r="C43" s="5"/>
      <c r="D43" s="5"/>
      <c r="E43" s="5"/>
    </row>
    <row r="44" ht="15.75" customHeight="1">
      <c r="A44" s="5"/>
      <c r="B44" s="5"/>
      <c r="C44" s="5"/>
      <c r="D44" s="5"/>
      <c r="E44" s="5"/>
    </row>
    <row r="45" ht="15.75" customHeight="1">
      <c r="A45" s="5"/>
      <c r="B45" s="5"/>
      <c r="C45" s="5"/>
      <c r="D45" s="5"/>
      <c r="E45" s="5"/>
    </row>
    <row r="46" ht="15.75" customHeight="1">
      <c r="A46" s="5"/>
      <c r="B46" s="5"/>
      <c r="C46" s="5"/>
      <c r="D46" s="5"/>
      <c r="E46" s="5"/>
    </row>
    <row r="47" ht="15.75" customHeight="1">
      <c r="A47" s="5"/>
      <c r="B47" s="5"/>
      <c r="C47" s="5"/>
      <c r="D47" s="5"/>
      <c r="E47" s="5"/>
    </row>
    <row r="48" ht="15.75" customHeight="1">
      <c r="A48" s="5"/>
      <c r="B48" s="5"/>
      <c r="C48" s="5"/>
      <c r="D48" s="5"/>
      <c r="E48" s="5"/>
    </row>
    <row r="49" ht="15.75" customHeight="1">
      <c r="A49" s="5"/>
      <c r="B49" s="5"/>
      <c r="C49" s="5"/>
      <c r="D49" s="5"/>
      <c r="E49" s="5"/>
    </row>
    <row r="50" ht="15.75" customHeight="1">
      <c r="A50" s="5"/>
      <c r="B50" s="5"/>
      <c r="C50" s="5"/>
      <c r="D50" s="5"/>
      <c r="E50" s="5"/>
    </row>
    <row r="51" ht="15.75" customHeight="1">
      <c r="A51" s="5"/>
      <c r="B51" s="5"/>
      <c r="C51" s="5"/>
      <c r="D51" s="5"/>
      <c r="E51" s="5"/>
    </row>
    <row r="52" ht="15.75" customHeight="1">
      <c r="A52" s="5"/>
      <c r="B52" s="5"/>
      <c r="C52" s="5"/>
      <c r="D52" s="5"/>
      <c r="E52" s="5"/>
    </row>
    <row r="53" ht="15.75" customHeight="1">
      <c r="A53" s="5"/>
      <c r="B53" s="5"/>
      <c r="C53" s="5"/>
      <c r="D53" s="5"/>
      <c r="E53" s="5"/>
    </row>
    <row r="54" ht="15.75" customHeight="1">
      <c r="A54" s="5"/>
      <c r="B54" s="5"/>
      <c r="C54" s="5"/>
      <c r="D54" s="5"/>
      <c r="E54" s="5"/>
    </row>
    <row r="55" ht="15.75" customHeight="1">
      <c r="A55" s="5"/>
      <c r="B55" s="5"/>
      <c r="C55" s="5"/>
      <c r="D55" s="5"/>
      <c r="E55" s="5"/>
    </row>
    <row r="56" ht="15.75" customHeight="1">
      <c r="A56" s="5"/>
      <c r="B56" s="5"/>
      <c r="C56" s="5"/>
      <c r="D56" s="5"/>
      <c r="E56" s="5"/>
    </row>
    <row r="57" ht="15.75" customHeight="1">
      <c r="A57" s="5"/>
      <c r="B57" s="5"/>
      <c r="C57" s="5"/>
      <c r="D57" s="5"/>
      <c r="E57" s="5"/>
    </row>
    <row r="58" ht="15.75" customHeight="1">
      <c r="A58" s="5"/>
      <c r="B58" s="5"/>
      <c r="C58" s="5"/>
      <c r="D58" s="5"/>
      <c r="E58" s="5"/>
    </row>
    <row r="59" ht="15.75" customHeight="1">
      <c r="A59" s="5"/>
      <c r="B59" s="5"/>
      <c r="C59" s="5"/>
      <c r="D59" s="5"/>
      <c r="E59" s="5"/>
    </row>
    <row r="60" ht="15.75" customHeight="1">
      <c r="A60" s="5"/>
      <c r="B60" s="5"/>
      <c r="C60" s="5"/>
      <c r="D60" s="5"/>
      <c r="E60" s="5"/>
    </row>
    <row r="61" ht="15.75" customHeight="1">
      <c r="A61" s="5"/>
      <c r="B61" s="5"/>
      <c r="C61" s="5"/>
      <c r="D61" s="5"/>
      <c r="E61" s="5"/>
    </row>
    <row r="62" ht="15.75" customHeight="1">
      <c r="A62" s="5"/>
      <c r="B62" s="5"/>
      <c r="C62" s="5"/>
      <c r="D62" s="5"/>
      <c r="E62" s="5"/>
    </row>
    <row r="63" ht="15.75" customHeight="1">
      <c r="A63" s="5"/>
      <c r="B63" s="5"/>
      <c r="C63" s="5"/>
      <c r="D63" s="5"/>
      <c r="E63" s="5"/>
    </row>
    <row r="64" ht="15.75" customHeight="1">
      <c r="A64" s="5"/>
      <c r="B64" s="5"/>
      <c r="C64" s="5"/>
      <c r="D64" s="5"/>
      <c r="E64" s="5"/>
    </row>
    <row r="65" ht="15.75" customHeight="1">
      <c r="A65" s="5"/>
      <c r="B65" s="5"/>
      <c r="C65" s="5"/>
      <c r="D65" s="5"/>
      <c r="E65" s="5"/>
    </row>
    <row r="66" ht="15.75" customHeight="1">
      <c r="A66" s="5"/>
      <c r="B66" s="5"/>
      <c r="C66" s="5"/>
      <c r="D66" s="5"/>
      <c r="E66" s="5"/>
    </row>
    <row r="67" ht="15.75" customHeight="1">
      <c r="A67" s="5"/>
      <c r="B67" s="5"/>
      <c r="C67" s="5"/>
      <c r="D67" s="5"/>
      <c r="E67" s="5"/>
    </row>
    <row r="68" ht="15.75" customHeight="1">
      <c r="A68" s="5"/>
      <c r="B68" s="5"/>
      <c r="C68" s="5"/>
      <c r="D68" s="5"/>
      <c r="E68" s="5"/>
    </row>
    <row r="69" ht="15.75" customHeight="1">
      <c r="A69" s="5"/>
      <c r="B69" s="5"/>
      <c r="C69" s="5"/>
      <c r="D69" s="5"/>
      <c r="E69" s="5"/>
    </row>
    <row r="70" ht="15.75" customHeight="1">
      <c r="A70" s="5"/>
      <c r="B70" s="5"/>
      <c r="C70" s="5"/>
      <c r="D70" s="5"/>
      <c r="E70" s="5"/>
    </row>
    <row r="71" ht="15.75" customHeight="1">
      <c r="A71" s="5"/>
      <c r="B71" s="5"/>
      <c r="C71" s="5"/>
      <c r="D71" s="5"/>
      <c r="E71" s="5"/>
    </row>
    <row r="72" ht="15.75" customHeight="1">
      <c r="A72" s="5"/>
      <c r="B72" s="5"/>
      <c r="C72" s="5"/>
      <c r="D72" s="5"/>
      <c r="E72" s="5"/>
    </row>
    <row r="73" ht="15.75" customHeight="1">
      <c r="A73" s="5"/>
      <c r="B73" s="5"/>
      <c r="C73" s="5"/>
      <c r="D73" s="5"/>
      <c r="E73" s="5"/>
    </row>
    <row r="74" ht="15.75" customHeight="1">
      <c r="A74" s="5"/>
      <c r="B74" s="5"/>
      <c r="C74" s="5"/>
      <c r="D74" s="5"/>
      <c r="E74" s="5"/>
    </row>
    <row r="75" ht="15.75" customHeight="1">
      <c r="A75" s="5"/>
      <c r="B75" s="5"/>
      <c r="C75" s="5"/>
      <c r="D75" s="5"/>
      <c r="E75" s="5"/>
    </row>
    <row r="76" ht="15.75" customHeight="1">
      <c r="A76" s="5"/>
      <c r="B76" s="5"/>
      <c r="C76" s="5"/>
      <c r="D76" s="5"/>
      <c r="E76" s="5"/>
    </row>
    <row r="77" ht="15.75" customHeight="1">
      <c r="A77" s="5"/>
      <c r="B77" s="5"/>
      <c r="C77" s="5"/>
      <c r="D77" s="5"/>
      <c r="E77" s="5"/>
    </row>
    <row r="78" ht="15.75" customHeight="1">
      <c r="A78" s="5"/>
      <c r="B78" s="5"/>
      <c r="C78" s="5"/>
      <c r="D78" s="5"/>
      <c r="E78" s="5"/>
    </row>
    <row r="79" ht="15.75" customHeight="1">
      <c r="A79" s="5"/>
      <c r="B79" s="5"/>
      <c r="C79" s="5"/>
      <c r="D79" s="5"/>
      <c r="E79" s="5"/>
    </row>
    <row r="80" ht="15.75" customHeight="1">
      <c r="A80" s="5"/>
      <c r="B80" s="5"/>
      <c r="C80" s="5"/>
      <c r="D80" s="5"/>
      <c r="E80" s="5"/>
    </row>
    <row r="81" ht="15.75" customHeight="1">
      <c r="A81" s="5"/>
      <c r="B81" s="5"/>
      <c r="C81" s="5"/>
      <c r="D81" s="5"/>
      <c r="E81" s="5"/>
    </row>
    <row r="82" ht="15.75" customHeight="1">
      <c r="A82" s="5"/>
      <c r="B82" s="5"/>
      <c r="C82" s="5"/>
      <c r="D82" s="5"/>
      <c r="E82" s="5"/>
    </row>
    <row r="83" ht="15.75" customHeight="1">
      <c r="A83" s="5"/>
      <c r="B83" s="5"/>
      <c r="C83" s="5"/>
      <c r="D83" s="5"/>
      <c r="E83" s="5"/>
    </row>
    <row r="84" ht="15.75" customHeight="1">
      <c r="A84" s="5"/>
      <c r="B84" s="5"/>
      <c r="C84" s="5"/>
      <c r="D84" s="5"/>
      <c r="E84" s="5"/>
    </row>
    <row r="85" ht="15.75" customHeight="1">
      <c r="A85" s="5"/>
      <c r="B85" s="5"/>
      <c r="C85" s="5"/>
      <c r="D85" s="5"/>
      <c r="E85" s="5"/>
    </row>
    <row r="86" ht="15.75" customHeight="1">
      <c r="A86" s="5"/>
      <c r="B86" s="5"/>
      <c r="C86" s="5"/>
      <c r="D86" s="5"/>
      <c r="E86" s="5"/>
    </row>
    <row r="87" ht="15.75" customHeight="1">
      <c r="A87" s="5"/>
      <c r="B87" s="5"/>
      <c r="C87" s="5"/>
      <c r="D87" s="5"/>
      <c r="E87" s="5"/>
    </row>
    <row r="88" ht="15.75" customHeight="1">
      <c r="A88" s="5"/>
      <c r="B88" s="5"/>
      <c r="C88" s="5"/>
      <c r="D88" s="5"/>
      <c r="E88" s="5"/>
    </row>
    <row r="89" ht="15.75" customHeight="1">
      <c r="A89" s="5"/>
      <c r="B89" s="5"/>
      <c r="C89" s="5"/>
      <c r="D89" s="5"/>
      <c r="E89" s="5"/>
    </row>
    <row r="90" ht="15.75" customHeight="1">
      <c r="A90" s="5"/>
      <c r="B90" s="5"/>
      <c r="C90" s="5"/>
      <c r="D90" s="5"/>
      <c r="E90" s="5"/>
    </row>
    <row r="91" ht="15.75" customHeight="1">
      <c r="A91" s="5"/>
      <c r="B91" s="5"/>
      <c r="C91" s="5"/>
      <c r="D91" s="5"/>
      <c r="E91" s="5"/>
    </row>
    <row r="92" ht="15.75" customHeight="1">
      <c r="A92" s="5"/>
      <c r="B92" s="5"/>
      <c r="C92" s="5"/>
      <c r="D92" s="5"/>
      <c r="E92" s="5"/>
    </row>
    <row r="93" ht="15.75" customHeight="1">
      <c r="A93" s="5"/>
      <c r="B93" s="5"/>
      <c r="C93" s="5"/>
      <c r="D93" s="5"/>
      <c r="E93" s="5"/>
    </row>
    <row r="94" ht="15.75" customHeight="1">
      <c r="A94" s="5"/>
      <c r="B94" s="5"/>
      <c r="C94" s="5"/>
      <c r="D94" s="5"/>
      <c r="E94" s="5"/>
    </row>
    <row r="95" ht="15.75" customHeight="1">
      <c r="A95" s="5"/>
      <c r="B95" s="5"/>
      <c r="C95" s="5"/>
      <c r="D95" s="5"/>
      <c r="E95" s="5"/>
    </row>
    <row r="96" ht="15.75" customHeight="1">
      <c r="A96" s="5"/>
      <c r="B96" s="5"/>
      <c r="C96" s="5"/>
      <c r="D96" s="5"/>
      <c r="E96" s="5"/>
    </row>
    <row r="97" ht="15.75" customHeight="1">
      <c r="A97" s="5"/>
      <c r="B97" s="5"/>
      <c r="C97" s="5"/>
      <c r="D97" s="5"/>
      <c r="E97" s="5"/>
    </row>
    <row r="98" ht="15.75" customHeight="1">
      <c r="A98" s="5"/>
      <c r="B98" s="5"/>
      <c r="C98" s="5"/>
      <c r="D98" s="5"/>
      <c r="E98" s="5"/>
    </row>
    <row r="99" ht="15.75" customHeight="1">
      <c r="A99" s="5"/>
      <c r="B99" s="5"/>
      <c r="C99" s="5"/>
      <c r="D99" s="5"/>
      <c r="E99" s="5"/>
    </row>
    <row r="100" ht="15.75" customHeight="1">
      <c r="A100" s="5"/>
      <c r="B100" s="5"/>
      <c r="C100" s="5"/>
      <c r="D100" s="5"/>
      <c r="E100" s="5"/>
    </row>
    <row r="101" ht="15.75" customHeight="1">
      <c r="A101" s="5"/>
      <c r="B101" s="5"/>
      <c r="C101" s="5"/>
      <c r="D101" s="5"/>
      <c r="E101" s="5"/>
    </row>
    <row r="102" ht="15.75" customHeight="1">
      <c r="A102" s="5"/>
      <c r="B102" s="5"/>
      <c r="C102" s="5"/>
      <c r="D102" s="5"/>
      <c r="E102" s="5"/>
    </row>
    <row r="103" ht="15.75" customHeight="1">
      <c r="A103" s="5"/>
      <c r="B103" s="5"/>
      <c r="C103" s="5"/>
      <c r="D103" s="5"/>
      <c r="E103" s="5"/>
    </row>
    <row r="104" ht="15.75" customHeight="1">
      <c r="A104" s="5"/>
      <c r="B104" s="5"/>
      <c r="C104" s="5"/>
      <c r="D104" s="5"/>
      <c r="E104" s="5"/>
    </row>
    <row r="105" ht="15.75" customHeight="1">
      <c r="A105" s="5"/>
      <c r="B105" s="5"/>
      <c r="C105" s="5"/>
      <c r="D105" s="5"/>
      <c r="E105" s="5"/>
    </row>
    <row r="106" ht="15.75" customHeight="1">
      <c r="A106" s="5"/>
      <c r="B106" s="5"/>
      <c r="C106" s="5"/>
      <c r="D106" s="5"/>
      <c r="E106" s="5"/>
    </row>
    <row r="107" ht="15.75" customHeight="1">
      <c r="A107" s="5"/>
      <c r="B107" s="5"/>
      <c r="C107" s="5"/>
      <c r="D107" s="5"/>
      <c r="E107" s="5"/>
    </row>
    <row r="108" ht="15.75" customHeight="1">
      <c r="A108" s="5"/>
      <c r="B108" s="5"/>
      <c r="C108" s="5"/>
      <c r="D108" s="5"/>
      <c r="E108" s="5"/>
    </row>
    <row r="109" ht="15.75" customHeight="1">
      <c r="A109" s="5"/>
      <c r="B109" s="5"/>
      <c r="C109" s="5"/>
      <c r="D109" s="5"/>
      <c r="E109" s="5"/>
    </row>
    <row r="110" ht="15.75" customHeight="1">
      <c r="A110" s="5"/>
      <c r="B110" s="5"/>
      <c r="C110" s="5"/>
      <c r="D110" s="5"/>
      <c r="E110" s="5"/>
    </row>
    <row r="111" ht="15.75" customHeight="1">
      <c r="A111" s="5"/>
      <c r="B111" s="5"/>
      <c r="C111" s="5"/>
      <c r="D111" s="5"/>
      <c r="E111" s="5"/>
    </row>
    <row r="112" ht="15.75" customHeight="1">
      <c r="A112" s="5"/>
      <c r="B112" s="5"/>
      <c r="C112" s="5"/>
      <c r="D112" s="5"/>
      <c r="E112" s="5"/>
    </row>
    <row r="113" ht="15.75" customHeight="1">
      <c r="A113" s="5"/>
      <c r="B113" s="5"/>
      <c r="C113" s="5"/>
      <c r="D113" s="5"/>
      <c r="E113" s="5"/>
    </row>
    <row r="114" ht="15.75" customHeight="1">
      <c r="A114" s="5"/>
      <c r="B114" s="5"/>
      <c r="C114" s="5"/>
      <c r="D114" s="5"/>
      <c r="E114" s="5"/>
    </row>
    <row r="115" ht="15.75" customHeight="1">
      <c r="A115" s="5"/>
      <c r="B115" s="5"/>
      <c r="C115" s="5"/>
      <c r="D115" s="5"/>
      <c r="E115" s="5"/>
    </row>
    <row r="116" ht="15.75" customHeight="1">
      <c r="A116" s="5"/>
      <c r="B116" s="5"/>
      <c r="C116" s="5"/>
      <c r="D116" s="5"/>
      <c r="E116" s="5"/>
    </row>
    <row r="117" ht="15.75" customHeight="1">
      <c r="A117" s="5"/>
      <c r="B117" s="5"/>
      <c r="C117" s="5"/>
      <c r="D117" s="5"/>
      <c r="E117" s="5"/>
    </row>
    <row r="118" ht="15.75" customHeight="1">
      <c r="A118" s="5"/>
      <c r="B118" s="5"/>
      <c r="C118" s="5"/>
      <c r="D118" s="5"/>
      <c r="E118" s="5"/>
    </row>
    <row r="119" ht="15.75" customHeight="1">
      <c r="A119" s="5"/>
      <c r="B119" s="5"/>
      <c r="C119" s="5"/>
      <c r="D119" s="5"/>
      <c r="E119" s="5"/>
    </row>
    <row r="120" ht="15.75" customHeight="1">
      <c r="A120" s="5"/>
      <c r="B120" s="5"/>
      <c r="C120" s="5"/>
      <c r="D120" s="5"/>
      <c r="E120" s="5"/>
    </row>
    <row r="121" ht="15.75" customHeight="1">
      <c r="A121" s="5"/>
      <c r="B121" s="5"/>
      <c r="C121" s="5"/>
      <c r="D121" s="5"/>
      <c r="E121" s="5"/>
    </row>
    <row r="122" ht="15.75" customHeight="1">
      <c r="A122" s="5"/>
      <c r="B122" s="5"/>
      <c r="C122" s="5"/>
      <c r="D122" s="5"/>
      <c r="E122" s="5"/>
    </row>
    <row r="123" ht="15.75" customHeight="1">
      <c r="A123" s="5"/>
      <c r="B123" s="5"/>
      <c r="C123" s="5"/>
      <c r="D123" s="5"/>
      <c r="E123" s="5"/>
    </row>
    <row r="124" ht="15.75" customHeight="1">
      <c r="A124" s="5"/>
      <c r="B124" s="5"/>
      <c r="C124" s="5"/>
      <c r="D124" s="5"/>
      <c r="E124" s="5"/>
    </row>
    <row r="125" ht="15.75" customHeight="1">
      <c r="A125" s="5"/>
      <c r="B125" s="5"/>
      <c r="C125" s="5"/>
      <c r="D125" s="5"/>
      <c r="E125" s="5"/>
    </row>
    <row r="126" ht="15.75" customHeight="1">
      <c r="A126" s="5"/>
      <c r="B126" s="5"/>
      <c r="C126" s="5"/>
      <c r="D126" s="5"/>
      <c r="E126" s="5"/>
    </row>
    <row r="127" ht="15.75" customHeight="1">
      <c r="A127" s="5"/>
      <c r="B127" s="5"/>
      <c r="C127" s="5"/>
      <c r="D127" s="5"/>
      <c r="E127" s="5"/>
    </row>
    <row r="128" ht="15.75" customHeight="1">
      <c r="A128" s="5"/>
      <c r="B128" s="5"/>
      <c r="C128" s="5"/>
      <c r="D128" s="5"/>
      <c r="E128" s="5"/>
    </row>
    <row r="129" ht="15.75" customHeight="1">
      <c r="A129" s="5"/>
      <c r="B129" s="5"/>
      <c r="C129" s="5"/>
      <c r="D129" s="5"/>
      <c r="E129" s="5"/>
    </row>
    <row r="130" ht="15.75" customHeight="1">
      <c r="A130" s="5"/>
      <c r="B130" s="5"/>
      <c r="C130" s="5"/>
      <c r="D130" s="5"/>
      <c r="E130" s="5"/>
    </row>
    <row r="131" ht="15.75" customHeight="1">
      <c r="A131" s="5"/>
      <c r="B131" s="5"/>
      <c r="C131" s="5"/>
      <c r="D131" s="5"/>
      <c r="E131" s="5"/>
    </row>
    <row r="132" ht="15.75" customHeight="1">
      <c r="A132" s="5"/>
      <c r="B132" s="5"/>
      <c r="C132" s="5"/>
      <c r="D132" s="5"/>
      <c r="E132" s="5"/>
    </row>
    <row r="133" ht="15.75" customHeight="1">
      <c r="A133" s="5"/>
      <c r="B133" s="5"/>
      <c r="C133" s="5"/>
      <c r="D133" s="5"/>
      <c r="E133" s="5"/>
    </row>
    <row r="134" ht="15.75" customHeight="1">
      <c r="A134" s="5"/>
      <c r="B134" s="5"/>
      <c r="C134" s="5"/>
      <c r="D134" s="5"/>
      <c r="E134" s="5"/>
    </row>
    <row r="135" ht="15.75" customHeight="1">
      <c r="A135" s="5"/>
      <c r="B135" s="5"/>
      <c r="C135" s="5"/>
      <c r="D135" s="5"/>
      <c r="E135" s="5"/>
    </row>
    <row r="136" ht="15.75" customHeight="1">
      <c r="A136" s="5"/>
      <c r="B136" s="5"/>
      <c r="C136" s="5"/>
      <c r="D136" s="5"/>
      <c r="E136" s="5"/>
    </row>
    <row r="137" ht="15.75" customHeight="1">
      <c r="A137" s="5"/>
      <c r="B137" s="5"/>
      <c r="C137" s="5"/>
      <c r="D137" s="5"/>
      <c r="E137" s="5"/>
    </row>
    <row r="138" ht="15.75" customHeight="1">
      <c r="A138" s="5"/>
      <c r="B138" s="5"/>
      <c r="C138" s="5"/>
      <c r="D138" s="5"/>
      <c r="E138" s="5"/>
    </row>
    <row r="139" ht="15.75" customHeight="1">
      <c r="A139" s="5"/>
      <c r="B139" s="5"/>
      <c r="C139" s="5"/>
      <c r="D139" s="5"/>
      <c r="E139" s="5"/>
    </row>
    <row r="140" ht="15.75" customHeight="1">
      <c r="A140" s="5"/>
      <c r="B140" s="5"/>
      <c r="C140" s="5"/>
      <c r="D140" s="5"/>
      <c r="E140" s="5"/>
    </row>
    <row r="141" ht="15.75" customHeight="1">
      <c r="A141" s="5"/>
      <c r="B141" s="5"/>
      <c r="C141" s="5"/>
      <c r="D141" s="5"/>
      <c r="E141" s="5"/>
    </row>
    <row r="142" ht="15.75" customHeight="1">
      <c r="A142" s="5"/>
      <c r="B142" s="5"/>
      <c r="C142" s="5"/>
      <c r="D142" s="5"/>
      <c r="E142" s="5"/>
    </row>
    <row r="143" ht="15.75" customHeight="1">
      <c r="A143" s="5"/>
      <c r="B143" s="5"/>
      <c r="C143" s="5"/>
      <c r="D143" s="5"/>
      <c r="E143" s="5"/>
    </row>
    <row r="144" ht="15.75" customHeight="1">
      <c r="A144" s="5"/>
      <c r="B144" s="5"/>
      <c r="C144" s="5"/>
      <c r="D144" s="5"/>
      <c r="E144" s="5"/>
    </row>
    <row r="145" ht="15.75" customHeight="1">
      <c r="A145" s="5"/>
      <c r="B145" s="5"/>
      <c r="C145" s="5"/>
      <c r="D145" s="5"/>
      <c r="E145" s="5"/>
    </row>
    <row r="146" ht="15.75" customHeight="1">
      <c r="A146" s="5"/>
      <c r="B146" s="5"/>
      <c r="C146" s="5"/>
      <c r="D146" s="5"/>
      <c r="E146" s="5"/>
    </row>
    <row r="147" ht="15.75" customHeight="1">
      <c r="A147" s="5"/>
      <c r="B147" s="5"/>
      <c r="C147" s="5"/>
      <c r="D147" s="5"/>
      <c r="E147" s="5"/>
    </row>
    <row r="148" ht="15.75" customHeight="1">
      <c r="A148" s="5"/>
      <c r="B148" s="5"/>
      <c r="C148" s="5"/>
      <c r="D148" s="5"/>
      <c r="E148" s="5"/>
    </row>
    <row r="149" ht="15.75" customHeight="1">
      <c r="A149" s="5"/>
      <c r="B149" s="5"/>
      <c r="C149" s="5"/>
      <c r="D149" s="5"/>
      <c r="E149" s="5"/>
    </row>
    <row r="150" ht="15.75" customHeight="1">
      <c r="A150" s="5"/>
      <c r="B150" s="5"/>
      <c r="C150" s="5"/>
      <c r="D150" s="5"/>
      <c r="E150" s="5"/>
    </row>
    <row r="151" ht="15.75" customHeight="1">
      <c r="A151" s="5"/>
      <c r="B151" s="5"/>
      <c r="C151" s="5"/>
      <c r="D151" s="5"/>
      <c r="E151" s="5"/>
    </row>
    <row r="152" ht="15.75" customHeight="1">
      <c r="A152" s="5"/>
      <c r="B152" s="5"/>
      <c r="C152" s="5"/>
      <c r="D152" s="5"/>
      <c r="E152" s="5"/>
    </row>
    <row r="153" ht="15.75" customHeight="1">
      <c r="A153" s="5"/>
      <c r="B153" s="5"/>
      <c r="C153" s="5"/>
      <c r="D153" s="5"/>
      <c r="E153" s="5"/>
    </row>
    <row r="154" ht="15.75" customHeight="1">
      <c r="A154" s="5"/>
      <c r="B154" s="5"/>
      <c r="C154" s="5"/>
      <c r="D154" s="5"/>
      <c r="E154" s="5"/>
    </row>
    <row r="155" ht="15.75" customHeight="1">
      <c r="A155" s="5"/>
      <c r="B155" s="5"/>
      <c r="C155" s="5"/>
      <c r="D155" s="5"/>
      <c r="E155" s="5"/>
    </row>
    <row r="156" ht="15.75" customHeight="1">
      <c r="A156" s="5"/>
      <c r="B156" s="5"/>
      <c r="C156" s="5"/>
      <c r="D156" s="5"/>
      <c r="E156" s="5"/>
    </row>
    <row r="157" ht="15.75" customHeight="1">
      <c r="A157" s="5"/>
      <c r="B157" s="5"/>
      <c r="C157" s="5"/>
      <c r="D157" s="5"/>
      <c r="E157" s="5"/>
    </row>
    <row r="158" ht="15.75" customHeight="1">
      <c r="A158" s="5"/>
      <c r="B158" s="5"/>
      <c r="C158" s="5"/>
      <c r="D158" s="5"/>
      <c r="E158" s="5"/>
    </row>
    <row r="159" ht="15.75" customHeight="1">
      <c r="A159" s="5"/>
      <c r="B159" s="5"/>
      <c r="C159" s="5"/>
      <c r="D159" s="5"/>
      <c r="E159" s="5"/>
    </row>
    <row r="160" ht="15.75" customHeight="1">
      <c r="A160" s="5"/>
      <c r="B160" s="5"/>
      <c r="C160" s="5"/>
      <c r="D160" s="5"/>
      <c r="E160" s="5"/>
    </row>
    <row r="161" ht="15.75" customHeight="1">
      <c r="A161" s="5"/>
      <c r="B161" s="5"/>
      <c r="C161" s="5"/>
      <c r="D161" s="5"/>
      <c r="E161" s="5"/>
    </row>
    <row r="162" ht="15.75" customHeight="1">
      <c r="A162" s="5"/>
      <c r="B162" s="5"/>
      <c r="C162" s="5"/>
      <c r="D162" s="5"/>
      <c r="E162" s="5"/>
    </row>
    <row r="163" ht="15.75" customHeight="1">
      <c r="A163" s="5"/>
      <c r="B163" s="5"/>
      <c r="C163" s="5"/>
      <c r="D163" s="5"/>
      <c r="E163" s="5"/>
    </row>
    <row r="164" ht="15.75" customHeight="1">
      <c r="A164" s="5"/>
      <c r="B164" s="5"/>
      <c r="C164" s="5"/>
      <c r="D164" s="5"/>
      <c r="E164" s="5"/>
    </row>
    <row r="165" ht="15.75" customHeight="1">
      <c r="A165" s="5"/>
      <c r="B165" s="5"/>
      <c r="C165" s="5"/>
      <c r="D165" s="5"/>
      <c r="E165" s="5"/>
    </row>
    <row r="166" ht="15.75" customHeight="1">
      <c r="A166" s="5"/>
      <c r="B166" s="5"/>
      <c r="C166" s="5"/>
      <c r="D166" s="5"/>
      <c r="E166" s="5"/>
    </row>
    <row r="167" ht="15.75" customHeight="1">
      <c r="A167" s="5"/>
      <c r="B167" s="5"/>
      <c r="C167" s="5"/>
      <c r="D167" s="5"/>
      <c r="E167" s="5"/>
    </row>
    <row r="168" ht="15.75" customHeight="1">
      <c r="A168" s="5"/>
      <c r="B168" s="5"/>
      <c r="C168" s="5"/>
      <c r="D168" s="5"/>
      <c r="E168" s="5"/>
    </row>
    <row r="169" ht="15.75" customHeight="1">
      <c r="A169" s="5"/>
      <c r="B169" s="5"/>
      <c r="C169" s="5"/>
      <c r="D169" s="5"/>
      <c r="E169" s="5"/>
    </row>
    <row r="170" ht="15.75" customHeight="1">
      <c r="A170" s="5"/>
      <c r="B170" s="5"/>
      <c r="C170" s="5"/>
      <c r="D170" s="5"/>
      <c r="E170" s="5"/>
    </row>
    <row r="171" ht="15.75" customHeight="1">
      <c r="A171" s="5"/>
      <c r="B171" s="5"/>
      <c r="C171" s="5"/>
      <c r="D171" s="5"/>
      <c r="E171" s="5"/>
    </row>
    <row r="172" ht="15.75" customHeight="1">
      <c r="A172" s="5"/>
      <c r="B172" s="5"/>
      <c r="C172" s="5"/>
      <c r="D172" s="5"/>
      <c r="E172" s="5"/>
    </row>
    <row r="173" ht="15.75" customHeight="1">
      <c r="A173" s="5"/>
      <c r="B173" s="5"/>
      <c r="C173" s="5"/>
      <c r="D173" s="5"/>
      <c r="E173" s="5"/>
    </row>
    <row r="174" ht="15.75" customHeight="1">
      <c r="A174" s="5"/>
      <c r="B174" s="5"/>
      <c r="C174" s="5"/>
      <c r="D174" s="5"/>
      <c r="E174" s="5"/>
    </row>
    <row r="175" ht="15.75" customHeight="1">
      <c r="A175" s="5"/>
      <c r="B175" s="5"/>
      <c r="C175" s="5"/>
      <c r="D175" s="5"/>
      <c r="E175" s="5"/>
    </row>
    <row r="176" ht="15.75" customHeight="1">
      <c r="A176" s="5"/>
      <c r="B176" s="5"/>
      <c r="C176" s="5"/>
      <c r="D176" s="5"/>
      <c r="E176" s="5"/>
    </row>
    <row r="177" ht="15.75" customHeight="1">
      <c r="A177" s="5"/>
      <c r="B177" s="5"/>
      <c r="C177" s="5"/>
      <c r="D177" s="5"/>
      <c r="E177" s="5"/>
    </row>
    <row r="178" ht="15.75" customHeight="1">
      <c r="A178" s="5"/>
      <c r="B178" s="5"/>
      <c r="C178" s="5"/>
      <c r="D178" s="5"/>
      <c r="E178" s="5"/>
    </row>
    <row r="179" ht="15.75" customHeight="1">
      <c r="A179" s="5"/>
      <c r="B179" s="5"/>
      <c r="C179" s="5"/>
      <c r="D179" s="5"/>
      <c r="E179" s="5"/>
    </row>
    <row r="180" ht="15.75" customHeight="1">
      <c r="A180" s="5"/>
      <c r="B180" s="5"/>
      <c r="C180" s="5"/>
      <c r="D180" s="5"/>
      <c r="E180" s="5"/>
    </row>
    <row r="181" ht="15.75" customHeight="1">
      <c r="A181" s="5"/>
      <c r="B181" s="5"/>
      <c r="C181" s="5"/>
      <c r="D181" s="5"/>
      <c r="E181" s="5"/>
    </row>
    <row r="182" ht="15.75" customHeight="1">
      <c r="A182" s="5"/>
      <c r="B182" s="5"/>
      <c r="C182" s="5"/>
      <c r="D182" s="5"/>
      <c r="E182" s="5"/>
    </row>
    <row r="183" ht="15.75" customHeight="1">
      <c r="A183" s="5"/>
      <c r="B183" s="5"/>
      <c r="C183" s="5"/>
      <c r="D183" s="5"/>
      <c r="E183" s="5"/>
    </row>
    <row r="184" ht="15.75" customHeight="1">
      <c r="A184" s="5"/>
      <c r="B184" s="5"/>
      <c r="C184" s="5"/>
      <c r="D184" s="5"/>
      <c r="E184" s="5"/>
    </row>
    <row r="185" ht="15.75" customHeight="1">
      <c r="A185" s="5"/>
      <c r="B185" s="5"/>
      <c r="C185" s="5"/>
      <c r="D185" s="5"/>
      <c r="E185" s="5"/>
    </row>
    <row r="186" ht="15.75" customHeight="1">
      <c r="A186" s="5"/>
      <c r="B186" s="5"/>
      <c r="C186" s="5"/>
      <c r="D186" s="5"/>
      <c r="E186" s="5"/>
    </row>
    <row r="187" ht="15.75" customHeight="1">
      <c r="A187" s="5"/>
      <c r="B187" s="5"/>
      <c r="C187" s="5"/>
      <c r="D187" s="5"/>
      <c r="E187" s="5"/>
    </row>
    <row r="188" ht="15.75" customHeight="1">
      <c r="A188" s="5"/>
      <c r="B188" s="5"/>
      <c r="C188" s="5"/>
      <c r="D188" s="5"/>
      <c r="E188" s="5"/>
    </row>
    <row r="189" ht="15.75" customHeight="1">
      <c r="A189" s="5"/>
      <c r="B189" s="5"/>
      <c r="C189" s="5"/>
      <c r="D189" s="5"/>
      <c r="E189" s="5"/>
    </row>
    <row r="190" ht="15.75" customHeight="1">
      <c r="A190" s="5"/>
      <c r="B190" s="5"/>
      <c r="C190" s="5"/>
      <c r="D190" s="5"/>
      <c r="E190" s="5"/>
    </row>
    <row r="191" ht="15.75" customHeight="1">
      <c r="A191" s="5"/>
      <c r="B191" s="5"/>
      <c r="C191" s="5"/>
      <c r="D191" s="5"/>
      <c r="E191" s="5"/>
    </row>
    <row r="192" ht="15.75" customHeight="1">
      <c r="A192" s="5"/>
      <c r="B192" s="5"/>
      <c r="C192" s="5"/>
      <c r="D192" s="5"/>
      <c r="E192" s="5"/>
    </row>
    <row r="193" ht="15.75" customHeight="1">
      <c r="A193" s="5"/>
      <c r="B193" s="5"/>
      <c r="C193" s="5"/>
      <c r="D193" s="5"/>
      <c r="E193" s="5"/>
    </row>
    <row r="194" ht="15.75" customHeight="1">
      <c r="A194" s="5"/>
      <c r="B194" s="5"/>
      <c r="C194" s="5"/>
      <c r="D194" s="5"/>
      <c r="E194" s="5"/>
    </row>
    <row r="195" ht="15.75" customHeight="1">
      <c r="A195" s="5"/>
      <c r="B195" s="5"/>
      <c r="C195" s="5"/>
      <c r="D195" s="5"/>
      <c r="E195" s="5"/>
    </row>
    <row r="196" ht="15.75" customHeight="1">
      <c r="A196" s="5"/>
      <c r="B196" s="5"/>
      <c r="C196" s="5"/>
      <c r="D196" s="5"/>
      <c r="E196" s="5"/>
    </row>
    <row r="197" ht="15.75" customHeight="1">
      <c r="A197" s="5"/>
      <c r="B197" s="5"/>
      <c r="C197" s="5"/>
      <c r="D197" s="5"/>
      <c r="E197" s="5"/>
    </row>
    <row r="198" ht="15.75" customHeight="1">
      <c r="A198" s="5"/>
      <c r="B198" s="5"/>
      <c r="C198" s="5"/>
      <c r="D198" s="5"/>
      <c r="E198" s="5"/>
    </row>
    <row r="199" ht="15.75" customHeight="1">
      <c r="A199" s="5"/>
      <c r="B199" s="5"/>
      <c r="C199" s="5"/>
      <c r="D199" s="5"/>
      <c r="E199" s="5"/>
    </row>
    <row r="200" ht="15.75" customHeight="1">
      <c r="A200" s="5"/>
      <c r="B200" s="5"/>
      <c r="C200" s="5"/>
      <c r="D200" s="5"/>
      <c r="E200" s="5"/>
    </row>
    <row r="201" ht="15.75" customHeight="1">
      <c r="A201" s="5"/>
      <c r="B201" s="5"/>
      <c r="C201" s="5"/>
      <c r="D201" s="5"/>
      <c r="E201" s="5"/>
    </row>
    <row r="202" ht="15.75" customHeight="1">
      <c r="A202" s="5"/>
      <c r="B202" s="5"/>
      <c r="C202" s="5"/>
      <c r="D202" s="5"/>
      <c r="E202" s="5"/>
    </row>
    <row r="203" ht="15.75" customHeight="1">
      <c r="A203" s="5"/>
      <c r="B203" s="5"/>
      <c r="C203" s="5"/>
      <c r="D203" s="5"/>
      <c r="E203" s="5"/>
    </row>
    <row r="204" ht="15.75" customHeight="1">
      <c r="A204" s="5"/>
      <c r="B204" s="5"/>
      <c r="C204" s="5"/>
      <c r="D204" s="5"/>
      <c r="E204" s="5"/>
    </row>
    <row r="205" ht="15.75" customHeight="1">
      <c r="A205" s="5"/>
      <c r="B205" s="5"/>
      <c r="C205" s="5"/>
      <c r="D205" s="5"/>
      <c r="E205" s="5"/>
    </row>
    <row r="206" ht="15.75" customHeight="1">
      <c r="A206" s="5"/>
      <c r="B206" s="5"/>
      <c r="C206" s="5"/>
      <c r="D206" s="5"/>
      <c r="E206" s="5"/>
    </row>
    <row r="207" ht="15.75" customHeight="1">
      <c r="A207" s="5"/>
      <c r="B207" s="5"/>
      <c r="C207" s="5"/>
      <c r="D207" s="5"/>
      <c r="E207" s="5"/>
    </row>
    <row r="208" ht="15.75" customHeight="1">
      <c r="A208" s="5"/>
      <c r="B208" s="5"/>
      <c r="C208" s="5"/>
      <c r="D208" s="5"/>
      <c r="E208" s="5"/>
    </row>
    <row r="209" ht="15.75" customHeight="1">
      <c r="A209" s="5"/>
      <c r="B209" s="5"/>
      <c r="C209" s="5"/>
      <c r="D209" s="5"/>
      <c r="E209" s="5"/>
    </row>
    <row r="210" ht="15.75" customHeight="1">
      <c r="A210" s="5"/>
      <c r="B210" s="5"/>
      <c r="C210" s="5"/>
      <c r="D210" s="5"/>
      <c r="E210" s="5"/>
    </row>
    <row r="211" ht="15.75" customHeight="1">
      <c r="A211" s="5"/>
      <c r="B211" s="5"/>
      <c r="C211" s="5"/>
      <c r="D211" s="5"/>
      <c r="E211" s="5"/>
    </row>
    <row r="212" ht="15.75" customHeight="1">
      <c r="A212" s="5"/>
      <c r="B212" s="5"/>
      <c r="C212" s="5"/>
      <c r="D212" s="5"/>
      <c r="E212" s="5"/>
    </row>
    <row r="213" ht="15.75" customHeight="1">
      <c r="A213" s="5"/>
      <c r="B213" s="5"/>
      <c r="C213" s="5"/>
      <c r="D213" s="5"/>
      <c r="E213" s="5"/>
    </row>
    <row r="214" ht="15.75" customHeight="1">
      <c r="A214" s="5"/>
      <c r="B214" s="5"/>
      <c r="C214" s="5"/>
      <c r="D214" s="5"/>
      <c r="E214" s="5"/>
    </row>
    <row r="215" ht="15.75" customHeight="1">
      <c r="A215" s="5"/>
      <c r="B215" s="5"/>
      <c r="C215" s="5"/>
      <c r="D215" s="5"/>
      <c r="E215" s="5"/>
    </row>
    <row r="216" ht="15.75" customHeight="1">
      <c r="A216" s="5"/>
      <c r="B216" s="5"/>
      <c r="C216" s="5"/>
      <c r="D216" s="5"/>
      <c r="E216" s="5"/>
    </row>
    <row r="217" ht="15.75" customHeight="1">
      <c r="A217" s="5"/>
      <c r="B217" s="5"/>
      <c r="C217" s="5"/>
      <c r="D217" s="5"/>
      <c r="E217" s="5"/>
    </row>
    <row r="218" ht="15.75" customHeight="1">
      <c r="A218" s="5"/>
      <c r="B218" s="5"/>
      <c r="C218" s="5"/>
      <c r="D218" s="5"/>
      <c r="E218" s="5"/>
    </row>
    <row r="219" ht="15.75" customHeight="1">
      <c r="A219" s="5"/>
      <c r="B219" s="5"/>
      <c r="C219" s="5"/>
      <c r="D219" s="5"/>
      <c r="E219" s="5"/>
    </row>
    <row r="220" ht="15.75" customHeight="1">
      <c r="A220" s="5"/>
      <c r="B220" s="5"/>
      <c r="C220" s="5"/>
      <c r="D220" s="5"/>
      <c r="E220" s="5"/>
    </row>
    <row r="221" ht="15.75" customHeight="1">
      <c r="A221" s="5"/>
      <c r="B221" s="5"/>
      <c r="C221" s="5"/>
      <c r="D221" s="5"/>
      <c r="E221" s="5"/>
    </row>
    <row r="222" ht="15.75" customHeight="1">
      <c r="A222" s="5"/>
      <c r="B222" s="5"/>
      <c r="C222" s="5"/>
      <c r="D222" s="5"/>
      <c r="E222" s="5"/>
    </row>
    <row r="223" ht="15.75" customHeight="1">
      <c r="A223" s="5"/>
      <c r="B223" s="5"/>
      <c r="C223" s="5"/>
      <c r="D223" s="5"/>
      <c r="E223" s="5"/>
    </row>
    <row r="224" ht="15.75" customHeight="1">
      <c r="A224" s="5"/>
      <c r="B224" s="5"/>
      <c r="C224" s="5"/>
      <c r="D224" s="5"/>
      <c r="E224" s="5"/>
    </row>
    <row r="225" ht="15.75" customHeight="1">
      <c r="A225" s="5"/>
      <c r="B225" s="5"/>
      <c r="C225" s="5"/>
      <c r="D225" s="5"/>
      <c r="E225" s="5"/>
    </row>
    <row r="226" ht="15.75" customHeight="1">
      <c r="A226" s="5"/>
      <c r="B226" s="5"/>
      <c r="C226" s="5"/>
      <c r="D226" s="5"/>
      <c r="E226" s="5"/>
    </row>
    <row r="227" ht="15.75" customHeight="1">
      <c r="A227" s="5"/>
      <c r="B227" s="5"/>
      <c r="C227" s="5"/>
      <c r="D227" s="5"/>
      <c r="E227" s="5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E2"/>
    <mergeCell ref="A13:E13"/>
    <mergeCell ref="A21:E21"/>
  </mergeCells>
  <printOptions/>
  <pageMargins bottom="1.0" footer="0.0" header="0.0" left="0.75" right="0.75" top="1.0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 fitToPage="1"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50.0"/>
    <col customWidth="1" min="3" max="3" width="36.0"/>
    <col customWidth="1" min="4" max="4" width="46.0"/>
    <col customWidth="1" min="5" max="5" width="34.0"/>
    <col customWidth="1" min="6" max="6" width="14.43"/>
  </cols>
  <sheetData>
    <row r="1" ht="19.5" customHeight="1">
      <c r="A1" s="1" t="s">
        <v>310</v>
      </c>
      <c r="B1" s="5"/>
      <c r="C1" s="5"/>
      <c r="D1" s="5"/>
      <c r="E1" s="5"/>
    </row>
    <row r="2" ht="15.0" customHeight="1">
      <c r="A2" s="8" t="s">
        <v>311</v>
      </c>
      <c r="B2" s="8" t="s">
        <v>312</v>
      </c>
      <c r="C2" s="8" t="s">
        <v>313</v>
      </c>
      <c r="D2" s="8" t="s">
        <v>314</v>
      </c>
      <c r="E2" s="8" t="s">
        <v>163</v>
      </c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</row>
    <row r="3" ht="45.75" customHeight="1">
      <c r="A3" s="44" t="s">
        <v>315</v>
      </c>
      <c r="B3" s="12" t="s">
        <v>316</v>
      </c>
      <c r="C3" s="12" t="s">
        <v>317</v>
      </c>
      <c r="D3" s="12" t="s">
        <v>318</v>
      </c>
      <c r="E3" s="16" t="s">
        <v>319</v>
      </c>
    </row>
    <row r="4" ht="34.5" customHeight="1">
      <c r="A4" s="44" t="s">
        <v>320</v>
      </c>
      <c r="B4" s="12" t="s">
        <v>321</v>
      </c>
      <c r="C4" s="12" t="s">
        <v>322</v>
      </c>
      <c r="D4" s="12" t="s">
        <v>323</v>
      </c>
      <c r="E4" s="16" t="s">
        <v>324</v>
      </c>
    </row>
    <row r="5" ht="23.25" customHeight="1">
      <c r="A5" s="44" t="s">
        <v>325</v>
      </c>
      <c r="B5" s="12" t="s">
        <v>326</v>
      </c>
      <c r="C5" s="12" t="s">
        <v>327</v>
      </c>
      <c r="D5" s="12" t="s">
        <v>328</v>
      </c>
      <c r="E5" s="16" t="s">
        <v>329</v>
      </c>
    </row>
    <row r="6" ht="23.25" customHeight="1">
      <c r="A6" s="44" t="s">
        <v>330</v>
      </c>
      <c r="B6" s="12" t="s">
        <v>331</v>
      </c>
      <c r="C6" s="12" t="s">
        <v>332</v>
      </c>
      <c r="D6" s="12" t="s">
        <v>333</v>
      </c>
      <c r="E6" s="16" t="s">
        <v>334</v>
      </c>
    </row>
    <row r="7" ht="23.25" customHeight="1">
      <c r="A7" s="44" t="s">
        <v>335</v>
      </c>
      <c r="B7" s="12" t="s">
        <v>336</v>
      </c>
      <c r="C7" s="12" t="s">
        <v>337</v>
      </c>
      <c r="D7" s="12" t="s">
        <v>338</v>
      </c>
      <c r="E7" s="16" t="s">
        <v>334</v>
      </c>
    </row>
    <row r="8" ht="23.25" customHeight="1">
      <c r="A8" s="44" t="s">
        <v>339</v>
      </c>
      <c r="B8" s="12" t="s">
        <v>340</v>
      </c>
      <c r="C8" s="12" t="s">
        <v>341</v>
      </c>
      <c r="D8" s="12" t="s">
        <v>342</v>
      </c>
      <c r="E8" s="16" t="s">
        <v>343</v>
      </c>
    </row>
    <row r="9" ht="23.25" customHeight="1">
      <c r="A9" s="44" t="s">
        <v>344</v>
      </c>
      <c r="B9" s="12" t="s">
        <v>345</v>
      </c>
      <c r="C9" s="12" t="s">
        <v>337</v>
      </c>
      <c r="D9" s="12" t="s">
        <v>346</v>
      </c>
      <c r="E9" s="16" t="s">
        <v>347</v>
      </c>
    </row>
    <row r="10" ht="23.25" customHeight="1">
      <c r="A10" s="44" t="s">
        <v>348</v>
      </c>
      <c r="B10" s="12" t="s">
        <v>349</v>
      </c>
      <c r="C10" s="12" t="s">
        <v>350</v>
      </c>
      <c r="D10" s="12" t="s">
        <v>351</v>
      </c>
      <c r="E10" s="16" t="s">
        <v>352</v>
      </c>
    </row>
    <row r="11" ht="23.25" customHeight="1">
      <c r="A11" s="44" t="s">
        <v>353</v>
      </c>
      <c r="B11" s="12" t="s">
        <v>354</v>
      </c>
      <c r="C11" s="12" t="s">
        <v>355</v>
      </c>
      <c r="D11" s="12" t="s">
        <v>356</v>
      </c>
      <c r="E11" s="16" t="s">
        <v>357</v>
      </c>
    </row>
    <row r="12">
      <c r="A12" s="5"/>
      <c r="B12" s="5"/>
      <c r="C12" s="5"/>
      <c r="D12" s="5"/>
      <c r="E12" s="5"/>
    </row>
    <row r="13">
      <c r="A13" s="5"/>
      <c r="B13" s="5"/>
      <c r="C13" s="5"/>
      <c r="D13" s="5"/>
      <c r="E13" s="5"/>
    </row>
    <row r="14">
      <c r="A14" s="5"/>
      <c r="B14" s="5"/>
      <c r="C14" s="5"/>
      <c r="D14" s="5"/>
      <c r="E14" s="5"/>
    </row>
    <row r="15">
      <c r="A15" s="5"/>
      <c r="B15" s="5"/>
      <c r="C15" s="5"/>
      <c r="D15" s="5"/>
      <c r="E15" s="5"/>
    </row>
    <row r="16">
      <c r="A16" s="5"/>
      <c r="B16" s="5"/>
      <c r="C16" s="5"/>
      <c r="D16" s="5"/>
      <c r="E16" s="5"/>
    </row>
    <row r="17">
      <c r="A17" s="5"/>
      <c r="B17" s="5"/>
      <c r="C17" s="5"/>
      <c r="D17" s="5"/>
      <c r="E17" s="5"/>
    </row>
    <row r="18">
      <c r="A18" s="5"/>
      <c r="B18" s="5"/>
      <c r="C18" s="5"/>
      <c r="D18" s="5"/>
      <c r="E18" s="5"/>
    </row>
    <row r="19">
      <c r="A19" s="5"/>
      <c r="B19" s="5"/>
      <c r="C19" s="5"/>
      <c r="D19" s="5"/>
      <c r="E19" s="5"/>
    </row>
    <row r="20">
      <c r="A20" s="5"/>
      <c r="B20" s="5"/>
      <c r="C20" s="5"/>
      <c r="D20" s="5"/>
      <c r="E20" s="5"/>
    </row>
    <row r="21" ht="15.75" customHeight="1">
      <c r="A21" s="5"/>
      <c r="B21" s="5"/>
      <c r="C21" s="5"/>
      <c r="D21" s="5"/>
      <c r="E21" s="5"/>
    </row>
    <row r="22" ht="15.75" customHeight="1">
      <c r="A22" s="5"/>
      <c r="B22" s="5"/>
      <c r="C22" s="5"/>
      <c r="D22" s="5"/>
      <c r="E22" s="5"/>
    </row>
    <row r="23" ht="15.75" customHeight="1">
      <c r="A23" s="5"/>
      <c r="B23" s="5"/>
      <c r="C23" s="5"/>
      <c r="D23" s="5"/>
      <c r="E23" s="5"/>
    </row>
    <row r="24" ht="15.75" customHeight="1">
      <c r="A24" s="5"/>
      <c r="B24" s="5"/>
      <c r="C24" s="5"/>
      <c r="D24" s="5"/>
      <c r="E24" s="5"/>
    </row>
    <row r="25" ht="15.75" customHeight="1">
      <c r="A25" s="5"/>
      <c r="B25" s="5"/>
      <c r="C25" s="5"/>
      <c r="D25" s="5"/>
      <c r="E25" s="5"/>
    </row>
    <row r="26" ht="15.75" customHeight="1">
      <c r="A26" s="5"/>
      <c r="B26" s="5"/>
      <c r="C26" s="5"/>
      <c r="D26" s="5"/>
      <c r="E26" s="5"/>
    </row>
    <row r="27" ht="15.75" customHeight="1">
      <c r="A27" s="5"/>
      <c r="B27" s="5"/>
      <c r="C27" s="5"/>
      <c r="D27" s="5"/>
      <c r="E27" s="5"/>
    </row>
    <row r="28" ht="15.75" customHeight="1">
      <c r="A28" s="5"/>
      <c r="B28" s="5"/>
      <c r="C28" s="5"/>
      <c r="D28" s="5"/>
      <c r="E28" s="5"/>
    </row>
    <row r="29" ht="15.75" customHeight="1">
      <c r="A29" s="5"/>
      <c r="B29" s="5"/>
      <c r="C29" s="5"/>
      <c r="D29" s="5"/>
      <c r="E29" s="5"/>
    </row>
    <row r="30" ht="15.75" customHeight="1">
      <c r="A30" s="5"/>
      <c r="B30" s="5"/>
      <c r="C30" s="5"/>
      <c r="D30" s="5"/>
      <c r="E30" s="5"/>
    </row>
    <row r="31" ht="15.75" customHeight="1">
      <c r="A31" s="5"/>
      <c r="B31" s="5"/>
      <c r="C31" s="5"/>
      <c r="D31" s="5"/>
      <c r="E31" s="5"/>
    </row>
    <row r="32" ht="15.75" customHeight="1">
      <c r="A32" s="5"/>
      <c r="B32" s="5"/>
      <c r="C32" s="5"/>
      <c r="D32" s="5"/>
      <c r="E32" s="5"/>
    </row>
    <row r="33" ht="15.75" customHeight="1">
      <c r="A33" s="5"/>
      <c r="B33" s="5"/>
      <c r="C33" s="5"/>
      <c r="D33" s="5"/>
      <c r="E33" s="5"/>
    </row>
    <row r="34" ht="15.75" customHeight="1">
      <c r="A34" s="5"/>
      <c r="B34" s="5"/>
      <c r="C34" s="5"/>
      <c r="D34" s="5"/>
      <c r="E34" s="5"/>
    </row>
    <row r="35" ht="15.75" customHeight="1">
      <c r="A35" s="5"/>
      <c r="B35" s="5"/>
      <c r="C35" s="5"/>
      <c r="D35" s="5"/>
      <c r="E35" s="5"/>
    </row>
    <row r="36" ht="15.75" customHeight="1">
      <c r="A36" s="5"/>
      <c r="B36" s="5"/>
      <c r="C36" s="5"/>
      <c r="D36" s="5"/>
      <c r="E36" s="5"/>
    </row>
    <row r="37" ht="15.75" customHeight="1">
      <c r="A37" s="5"/>
      <c r="B37" s="5"/>
      <c r="C37" s="5"/>
      <c r="D37" s="5"/>
      <c r="E37" s="5"/>
    </row>
    <row r="38" ht="15.75" customHeight="1">
      <c r="A38" s="5"/>
      <c r="B38" s="5"/>
      <c r="C38" s="5"/>
      <c r="D38" s="5"/>
      <c r="E38" s="5"/>
    </row>
    <row r="39" ht="15.75" customHeight="1">
      <c r="A39" s="5"/>
      <c r="B39" s="5"/>
      <c r="C39" s="5"/>
      <c r="D39" s="5"/>
      <c r="E39" s="5"/>
    </row>
    <row r="40" ht="15.75" customHeight="1">
      <c r="A40" s="5"/>
      <c r="B40" s="5"/>
      <c r="C40" s="5"/>
      <c r="D40" s="5"/>
      <c r="E40" s="5"/>
    </row>
    <row r="41" ht="15.75" customHeight="1">
      <c r="A41" s="5"/>
      <c r="B41" s="5"/>
      <c r="C41" s="5"/>
      <c r="D41" s="5"/>
      <c r="E41" s="5"/>
    </row>
    <row r="42" ht="15.75" customHeight="1">
      <c r="A42" s="5"/>
      <c r="B42" s="5"/>
      <c r="C42" s="5"/>
      <c r="D42" s="5"/>
      <c r="E42" s="5"/>
    </row>
    <row r="43" ht="15.75" customHeight="1">
      <c r="A43" s="5"/>
      <c r="B43" s="5"/>
      <c r="C43" s="5"/>
      <c r="D43" s="5"/>
      <c r="E43" s="5"/>
    </row>
    <row r="44" ht="15.75" customHeight="1">
      <c r="A44" s="5"/>
      <c r="B44" s="5"/>
      <c r="C44" s="5"/>
      <c r="D44" s="5"/>
      <c r="E44" s="5"/>
    </row>
    <row r="45" ht="15.75" customHeight="1">
      <c r="A45" s="5"/>
      <c r="B45" s="5"/>
      <c r="C45" s="5"/>
      <c r="D45" s="5"/>
      <c r="E45" s="5"/>
    </row>
    <row r="46" ht="15.75" customHeight="1">
      <c r="A46" s="5"/>
      <c r="B46" s="5"/>
      <c r="C46" s="5"/>
      <c r="D46" s="5"/>
      <c r="E46" s="5"/>
    </row>
    <row r="47" ht="15.75" customHeight="1">
      <c r="A47" s="5"/>
      <c r="B47" s="5"/>
      <c r="C47" s="5"/>
      <c r="D47" s="5"/>
      <c r="E47" s="5"/>
    </row>
    <row r="48" ht="15.75" customHeight="1">
      <c r="A48" s="5"/>
      <c r="B48" s="5"/>
      <c r="C48" s="5"/>
      <c r="D48" s="5"/>
      <c r="E48" s="5"/>
    </row>
    <row r="49" ht="15.75" customHeight="1">
      <c r="A49" s="5"/>
      <c r="B49" s="5"/>
      <c r="C49" s="5"/>
      <c r="D49" s="5"/>
      <c r="E49" s="5"/>
    </row>
    <row r="50" ht="15.75" customHeight="1">
      <c r="A50" s="5"/>
      <c r="B50" s="5"/>
      <c r="C50" s="5"/>
      <c r="D50" s="5"/>
      <c r="E50" s="5"/>
    </row>
    <row r="51" ht="15.75" customHeight="1">
      <c r="A51" s="5"/>
      <c r="B51" s="5"/>
      <c r="C51" s="5"/>
      <c r="D51" s="5"/>
      <c r="E51" s="5"/>
    </row>
    <row r="52" ht="15.75" customHeight="1">
      <c r="A52" s="5"/>
      <c r="B52" s="5"/>
      <c r="C52" s="5"/>
      <c r="D52" s="5"/>
      <c r="E52" s="5"/>
    </row>
    <row r="53" ht="15.75" customHeight="1">
      <c r="A53" s="5"/>
      <c r="B53" s="5"/>
      <c r="C53" s="5"/>
      <c r="D53" s="5"/>
      <c r="E53" s="5"/>
    </row>
    <row r="54" ht="15.75" customHeight="1">
      <c r="A54" s="5"/>
      <c r="B54" s="5"/>
      <c r="C54" s="5"/>
      <c r="D54" s="5"/>
      <c r="E54" s="5"/>
    </row>
    <row r="55" ht="15.75" customHeight="1">
      <c r="A55" s="5"/>
      <c r="B55" s="5"/>
      <c r="C55" s="5"/>
      <c r="D55" s="5"/>
      <c r="E55" s="5"/>
    </row>
    <row r="56" ht="15.75" customHeight="1">
      <c r="A56" s="5"/>
      <c r="B56" s="5"/>
      <c r="C56" s="5"/>
      <c r="D56" s="5"/>
      <c r="E56" s="5"/>
    </row>
    <row r="57" ht="15.75" customHeight="1">
      <c r="A57" s="5"/>
      <c r="B57" s="5"/>
      <c r="C57" s="5"/>
      <c r="D57" s="5"/>
      <c r="E57" s="5"/>
    </row>
    <row r="58" ht="15.75" customHeight="1">
      <c r="A58" s="5"/>
      <c r="B58" s="5"/>
      <c r="C58" s="5"/>
      <c r="D58" s="5"/>
      <c r="E58" s="5"/>
    </row>
    <row r="59" ht="15.75" customHeight="1">
      <c r="A59" s="5"/>
      <c r="B59" s="5"/>
      <c r="C59" s="5"/>
      <c r="D59" s="5"/>
      <c r="E59" s="5"/>
    </row>
    <row r="60" ht="15.75" customHeight="1">
      <c r="A60" s="5"/>
      <c r="B60" s="5"/>
      <c r="C60" s="5"/>
      <c r="D60" s="5"/>
      <c r="E60" s="5"/>
    </row>
    <row r="61" ht="15.75" customHeight="1">
      <c r="A61" s="5"/>
      <c r="B61" s="5"/>
      <c r="C61" s="5"/>
      <c r="D61" s="5"/>
      <c r="E61" s="5"/>
    </row>
    <row r="62" ht="15.75" customHeight="1">
      <c r="A62" s="5"/>
      <c r="B62" s="5"/>
      <c r="C62" s="5"/>
      <c r="D62" s="5"/>
      <c r="E62" s="5"/>
    </row>
    <row r="63" ht="15.75" customHeight="1">
      <c r="A63" s="5"/>
      <c r="B63" s="5"/>
      <c r="C63" s="5"/>
      <c r="D63" s="5"/>
      <c r="E63" s="5"/>
    </row>
    <row r="64" ht="15.75" customHeight="1">
      <c r="A64" s="5"/>
      <c r="B64" s="5"/>
      <c r="C64" s="5"/>
      <c r="D64" s="5"/>
      <c r="E64" s="5"/>
    </row>
    <row r="65" ht="15.75" customHeight="1">
      <c r="A65" s="5"/>
      <c r="B65" s="5"/>
      <c r="C65" s="5"/>
      <c r="D65" s="5"/>
      <c r="E65" s="5"/>
    </row>
    <row r="66" ht="15.75" customHeight="1">
      <c r="A66" s="5"/>
      <c r="B66" s="5"/>
      <c r="C66" s="5"/>
      <c r="D66" s="5"/>
      <c r="E66" s="5"/>
    </row>
    <row r="67" ht="15.75" customHeight="1">
      <c r="A67" s="5"/>
      <c r="B67" s="5"/>
      <c r="C67" s="5"/>
      <c r="D67" s="5"/>
      <c r="E67" s="5"/>
    </row>
    <row r="68" ht="15.75" customHeight="1">
      <c r="A68" s="5"/>
      <c r="B68" s="5"/>
      <c r="C68" s="5"/>
      <c r="D68" s="5"/>
      <c r="E68" s="5"/>
    </row>
    <row r="69" ht="15.75" customHeight="1">
      <c r="A69" s="5"/>
      <c r="B69" s="5"/>
      <c r="C69" s="5"/>
      <c r="D69" s="5"/>
      <c r="E69" s="5"/>
    </row>
    <row r="70" ht="15.75" customHeight="1">
      <c r="A70" s="5"/>
      <c r="B70" s="5"/>
      <c r="C70" s="5"/>
      <c r="D70" s="5"/>
      <c r="E70" s="5"/>
    </row>
    <row r="71" ht="15.75" customHeight="1">
      <c r="A71" s="5"/>
      <c r="B71" s="5"/>
      <c r="C71" s="5"/>
      <c r="D71" s="5"/>
      <c r="E71" s="5"/>
    </row>
    <row r="72" ht="15.75" customHeight="1">
      <c r="A72" s="5"/>
      <c r="B72" s="5"/>
      <c r="C72" s="5"/>
      <c r="D72" s="5"/>
      <c r="E72" s="5"/>
    </row>
    <row r="73" ht="15.75" customHeight="1">
      <c r="A73" s="5"/>
      <c r="B73" s="5"/>
      <c r="C73" s="5"/>
      <c r="D73" s="5"/>
      <c r="E73" s="5"/>
    </row>
    <row r="74" ht="15.75" customHeight="1">
      <c r="A74" s="5"/>
      <c r="B74" s="5"/>
      <c r="C74" s="5"/>
      <c r="D74" s="5"/>
      <c r="E74" s="5"/>
    </row>
    <row r="75" ht="15.75" customHeight="1">
      <c r="A75" s="5"/>
      <c r="B75" s="5"/>
      <c r="C75" s="5"/>
      <c r="D75" s="5"/>
      <c r="E75" s="5"/>
    </row>
    <row r="76" ht="15.75" customHeight="1">
      <c r="A76" s="5"/>
      <c r="B76" s="5"/>
      <c r="C76" s="5"/>
      <c r="D76" s="5"/>
      <c r="E76" s="5"/>
    </row>
    <row r="77" ht="15.75" customHeight="1">
      <c r="A77" s="5"/>
      <c r="B77" s="5"/>
      <c r="C77" s="5"/>
      <c r="D77" s="5"/>
      <c r="E77" s="5"/>
    </row>
    <row r="78" ht="15.75" customHeight="1">
      <c r="A78" s="5"/>
      <c r="B78" s="5"/>
      <c r="C78" s="5"/>
      <c r="D78" s="5"/>
      <c r="E78" s="5"/>
    </row>
    <row r="79" ht="15.75" customHeight="1">
      <c r="A79" s="5"/>
      <c r="B79" s="5"/>
      <c r="C79" s="5"/>
      <c r="D79" s="5"/>
      <c r="E79" s="5"/>
    </row>
    <row r="80" ht="15.75" customHeight="1">
      <c r="A80" s="5"/>
      <c r="B80" s="5"/>
      <c r="C80" s="5"/>
      <c r="D80" s="5"/>
      <c r="E80" s="5"/>
    </row>
    <row r="81" ht="15.75" customHeight="1">
      <c r="A81" s="5"/>
      <c r="B81" s="5"/>
      <c r="C81" s="5"/>
      <c r="D81" s="5"/>
      <c r="E81" s="5"/>
    </row>
    <row r="82" ht="15.75" customHeight="1">
      <c r="A82" s="5"/>
      <c r="B82" s="5"/>
      <c r="C82" s="5"/>
      <c r="D82" s="5"/>
      <c r="E82" s="5"/>
    </row>
    <row r="83" ht="15.75" customHeight="1">
      <c r="A83" s="5"/>
      <c r="B83" s="5"/>
      <c r="C83" s="5"/>
      <c r="D83" s="5"/>
      <c r="E83" s="5"/>
    </row>
    <row r="84" ht="15.75" customHeight="1">
      <c r="A84" s="5"/>
      <c r="B84" s="5"/>
      <c r="C84" s="5"/>
      <c r="D84" s="5"/>
      <c r="E84" s="5"/>
    </row>
    <row r="85" ht="15.75" customHeight="1">
      <c r="A85" s="5"/>
      <c r="B85" s="5"/>
      <c r="C85" s="5"/>
      <c r="D85" s="5"/>
      <c r="E85" s="5"/>
    </row>
    <row r="86" ht="15.75" customHeight="1">
      <c r="A86" s="5"/>
      <c r="B86" s="5"/>
      <c r="C86" s="5"/>
      <c r="D86" s="5"/>
      <c r="E86" s="5"/>
    </row>
    <row r="87" ht="15.75" customHeight="1">
      <c r="A87" s="5"/>
      <c r="B87" s="5"/>
      <c r="C87" s="5"/>
      <c r="D87" s="5"/>
      <c r="E87" s="5"/>
    </row>
    <row r="88" ht="15.75" customHeight="1">
      <c r="A88" s="5"/>
      <c r="B88" s="5"/>
      <c r="C88" s="5"/>
      <c r="D88" s="5"/>
      <c r="E88" s="5"/>
    </row>
    <row r="89" ht="15.75" customHeight="1">
      <c r="A89" s="5"/>
      <c r="B89" s="5"/>
      <c r="C89" s="5"/>
      <c r="D89" s="5"/>
      <c r="E89" s="5"/>
    </row>
    <row r="90" ht="15.75" customHeight="1">
      <c r="A90" s="5"/>
      <c r="B90" s="5"/>
      <c r="C90" s="5"/>
      <c r="D90" s="5"/>
      <c r="E90" s="5"/>
    </row>
    <row r="91" ht="15.75" customHeight="1">
      <c r="A91" s="5"/>
      <c r="B91" s="5"/>
      <c r="C91" s="5"/>
      <c r="D91" s="5"/>
      <c r="E91" s="5"/>
    </row>
    <row r="92" ht="15.75" customHeight="1">
      <c r="A92" s="5"/>
      <c r="B92" s="5"/>
      <c r="C92" s="5"/>
      <c r="D92" s="5"/>
      <c r="E92" s="5"/>
    </row>
    <row r="93" ht="15.75" customHeight="1">
      <c r="A93" s="5"/>
      <c r="B93" s="5"/>
      <c r="C93" s="5"/>
      <c r="D93" s="5"/>
      <c r="E93" s="5"/>
    </row>
    <row r="94" ht="15.75" customHeight="1">
      <c r="A94" s="5"/>
      <c r="B94" s="5"/>
      <c r="C94" s="5"/>
      <c r="D94" s="5"/>
      <c r="E94" s="5"/>
    </row>
    <row r="95" ht="15.75" customHeight="1">
      <c r="A95" s="5"/>
      <c r="B95" s="5"/>
      <c r="C95" s="5"/>
      <c r="D95" s="5"/>
      <c r="E95" s="5"/>
    </row>
    <row r="96" ht="15.75" customHeight="1">
      <c r="A96" s="5"/>
      <c r="B96" s="5"/>
      <c r="C96" s="5"/>
      <c r="D96" s="5"/>
      <c r="E96" s="5"/>
    </row>
    <row r="97" ht="15.75" customHeight="1">
      <c r="A97" s="5"/>
      <c r="B97" s="5"/>
      <c r="C97" s="5"/>
      <c r="D97" s="5"/>
      <c r="E97" s="5"/>
    </row>
    <row r="98" ht="15.75" customHeight="1">
      <c r="A98" s="5"/>
      <c r="B98" s="5"/>
      <c r="C98" s="5"/>
      <c r="D98" s="5"/>
      <c r="E98" s="5"/>
    </row>
    <row r="99" ht="15.75" customHeight="1">
      <c r="A99" s="5"/>
      <c r="B99" s="5"/>
      <c r="C99" s="5"/>
      <c r="D99" s="5"/>
      <c r="E99" s="5"/>
    </row>
    <row r="100" ht="15.75" customHeight="1">
      <c r="A100" s="5"/>
      <c r="B100" s="5"/>
      <c r="C100" s="5"/>
      <c r="D100" s="5"/>
      <c r="E100" s="5"/>
    </row>
    <row r="101" ht="15.75" customHeight="1">
      <c r="A101" s="5"/>
      <c r="B101" s="5"/>
      <c r="C101" s="5"/>
      <c r="D101" s="5"/>
      <c r="E101" s="5"/>
    </row>
    <row r="102" ht="15.75" customHeight="1">
      <c r="A102" s="5"/>
      <c r="B102" s="5"/>
      <c r="C102" s="5"/>
      <c r="D102" s="5"/>
      <c r="E102" s="5"/>
    </row>
    <row r="103" ht="15.75" customHeight="1">
      <c r="A103" s="5"/>
      <c r="B103" s="5"/>
      <c r="C103" s="5"/>
      <c r="D103" s="5"/>
      <c r="E103" s="5"/>
    </row>
    <row r="104" ht="15.75" customHeight="1">
      <c r="A104" s="5"/>
      <c r="B104" s="5"/>
      <c r="C104" s="5"/>
      <c r="D104" s="5"/>
      <c r="E104" s="5"/>
    </row>
    <row r="105" ht="15.75" customHeight="1">
      <c r="A105" s="5"/>
      <c r="B105" s="5"/>
      <c r="C105" s="5"/>
      <c r="D105" s="5"/>
      <c r="E105" s="5"/>
    </row>
    <row r="106" ht="15.75" customHeight="1">
      <c r="A106" s="5"/>
      <c r="B106" s="5"/>
      <c r="C106" s="5"/>
      <c r="D106" s="5"/>
      <c r="E106" s="5"/>
    </row>
    <row r="107" ht="15.75" customHeight="1">
      <c r="A107" s="5"/>
      <c r="B107" s="5"/>
      <c r="C107" s="5"/>
      <c r="D107" s="5"/>
      <c r="E107" s="5"/>
    </row>
    <row r="108" ht="15.75" customHeight="1">
      <c r="A108" s="5"/>
      <c r="B108" s="5"/>
      <c r="C108" s="5"/>
      <c r="D108" s="5"/>
      <c r="E108" s="5"/>
    </row>
    <row r="109" ht="15.75" customHeight="1">
      <c r="A109" s="5"/>
      <c r="B109" s="5"/>
      <c r="C109" s="5"/>
      <c r="D109" s="5"/>
      <c r="E109" s="5"/>
    </row>
    <row r="110" ht="15.75" customHeight="1">
      <c r="A110" s="5"/>
      <c r="B110" s="5"/>
      <c r="C110" s="5"/>
      <c r="D110" s="5"/>
      <c r="E110" s="5"/>
    </row>
    <row r="111" ht="15.75" customHeight="1">
      <c r="A111" s="5"/>
      <c r="B111" s="5"/>
      <c r="C111" s="5"/>
      <c r="D111" s="5"/>
      <c r="E111" s="5"/>
    </row>
    <row r="112" ht="15.75" customHeight="1">
      <c r="A112" s="5"/>
      <c r="B112" s="5"/>
      <c r="C112" s="5"/>
      <c r="D112" s="5"/>
      <c r="E112" s="5"/>
    </row>
    <row r="113" ht="15.75" customHeight="1">
      <c r="A113" s="5"/>
      <c r="B113" s="5"/>
      <c r="C113" s="5"/>
      <c r="D113" s="5"/>
      <c r="E113" s="5"/>
    </row>
    <row r="114" ht="15.75" customHeight="1">
      <c r="A114" s="5"/>
      <c r="B114" s="5"/>
      <c r="C114" s="5"/>
      <c r="D114" s="5"/>
      <c r="E114" s="5"/>
    </row>
    <row r="115" ht="15.75" customHeight="1">
      <c r="A115" s="5"/>
      <c r="B115" s="5"/>
      <c r="C115" s="5"/>
      <c r="D115" s="5"/>
      <c r="E115" s="5"/>
    </row>
    <row r="116" ht="15.75" customHeight="1">
      <c r="A116" s="5"/>
      <c r="B116" s="5"/>
      <c r="C116" s="5"/>
      <c r="D116" s="5"/>
      <c r="E116" s="5"/>
    </row>
    <row r="117" ht="15.75" customHeight="1">
      <c r="A117" s="5"/>
      <c r="B117" s="5"/>
      <c r="C117" s="5"/>
      <c r="D117" s="5"/>
      <c r="E117" s="5"/>
    </row>
    <row r="118" ht="15.75" customHeight="1">
      <c r="A118" s="5"/>
      <c r="B118" s="5"/>
      <c r="C118" s="5"/>
      <c r="D118" s="5"/>
      <c r="E118" s="5"/>
    </row>
    <row r="119" ht="15.75" customHeight="1">
      <c r="A119" s="5"/>
      <c r="B119" s="5"/>
      <c r="C119" s="5"/>
      <c r="D119" s="5"/>
      <c r="E119" s="5"/>
    </row>
    <row r="120" ht="15.75" customHeight="1">
      <c r="A120" s="5"/>
      <c r="B120" s="5"/>
      <c r="C120" s="5"/>
      <c r="D120" s="5"/>
      <c r="E120" s="5"/>
    </row>
    <row r="121" ht="15.75" customHeight="1">
      <c r="A121" s="5"/>
      <c r="B121" s="5"/>
      <c r="C121" s="5"/>
      <c r="D121" s="5"/>
      <c r="E121" s="5"/>
    </row>
    <row r="122" ht="15.75" customHeight="1">
      <c r="A122" s="5"/>
      <c r="B122" s="5"/>
      <c r="C122" s="5"/>
      <c r="D122" s="5"/>
      <c r="E122" s="5"/>
    </row>
    <row r="123" ht="15.75" customHeight="1">
      <c r="A123" s="5"/>
      <c r="B123" s="5"/>
      <c r="C123" s="5"/>
      <c r="D123" s="5"/>
      <c r="E123" s="5"/>
    </row>
    <row r="124" ht="15.75" customHeight="1">
      <c r="A124" s="5"/>
      <c r="B124" s="5"/>
      <c r="C124" s="5"/>
      <c r="D124" s="5"/>
      <c r="E124" s="5"/>
    </row>
    <row r="125" ht="15.75" customHeight="1">
      <c r="A125" s="5"/>
      <c r="B125" s="5"/>
      <c r="C125" s="5"/>
      <c r="D125" s="5"/>
      <c r="E125" s="5"/>
    </row>
    <row r="126" ht="15.75" customHeight="1">
      <c r="A126" s="5"/>
      <c r="B126" s="5"/>
      <c r="C126" s="5"/>
      <c r="D126" s="5"/>
      <c r="E126" s="5"/>
    </row>
    <row r="127" ht="15.75" customHeight="1">
      <c r="A127" s="5"/>
      <c r="B127" s="5"/>
      <c r="C127" s="5"/>
      <c r="D127" s="5"/>
      <c r="E127" s="5"/>
    </row>
    <row r="128" ht="15.75" customHeight="1">
      <c r="A128" s="5"/>
      <c r="B128" s="5"/>
      <c r="C128" s="5"/>
      <c r="D128" s="5"/>
      <c r="E128" s="5"/>
    </row>
    <row r="129" ht="15.75" customHeight="1">
      <c r="A129" s="5"/>
      <c r="B129" s="5"/>
      <c r="C129" s="5"/>
      <c r="D129" s="5"/>
      <c r="E129" s="5"/>
    </row>
    <row r="130" ht="15.75" customHeight="1">
      <c r="A130" s="5"/>
      <c r="B130" s="5"/>
      <c r="C130" s="5"/>
      <c r="D130" s="5"/>
      <c r="E130" s="5"/>
    </row>
    <row r="131" ht="15.75" customHeight="1">
      <c r="A131" s="5"/>
      <c r="B131" s="5"/>
      <c r="C131" s="5"/>
      <c r="D131" s="5"/>
      <c r="E131" s="5"/>
    </row>
    <row r="132" ht="15.75" customHeight="1">
      <c r="A132" s="5"/>
      <c r="B132" s="5"/>
      <c r="C132" s="5"/>
      <c r="D132" s="5"/>
      <c r="E132" s="5"/>
    </row>
    <row r="133" ht="15.75" customHeight="1">
      <c r="A133" s="5"/>
      <c r="B133" s="5"/>
      <c r="C133" s="5"/>
      <c r="D133" s="5"/>
      <c r="E133" s="5"/>
    </row>
    <row r="134" ht="15.75" customHeight="1">
      <c r="A134" s="5"/>
      <c r="B134" s="5"/>
      <c r="C134" s="5"/>
      <c r="D134" s="5"/>
      <c r="E134" s="5"/>
    </row>
    <row r="135" ht="15.75" customHeight="1">
      <c r="A135" s="5"/>
      <c r="B135" s="5"/>
      <c r="C135" s="5"/>
      <c r="D135" s="5"/>
      <c r="E135" s="5"/>
    </row>
    <row r="136" ht="15.75" customHeight="1">
      <c r="A136" s="5"/>
      <c r="B136" s="5"/>
      <c r="C136" s="5"/>
      <c r="D136" s="5"/>
      <c r="E136" s="5"/>
    </row>
    <row r="137" ht="15.75" customHeight="1">
      <c r="A137" s="5"/>
      <c r="B137" s="5"/>
      <c r="C137" s="5"/>
      <c r="D137" s="5"/>
      <c r="E137" s="5"/>
    </row>
    <row r="138" ht="15.75" customHeight="1">
      <c r="A138" s="5"/>
      <c r="B138" s="5"/>
      <c r="C138" s="5"/>
      <c r="D138" s="5"/>
      <c r="E138" s="5"/>
    </row>
    <row r="139" ht="15.75" customHeight="1">
      <c r="A139" s="5"/>
      <c r="B139" s="5"/>
      <c r="C139" s="5"/>
      <c r="D139" s="5"/>
      <c r="E139" s="5"/>
    </row>
    <row r="140" ht="15.75" customHeight="1">
      <c r="A140" s="5"/>
      <c r="B140" s="5"/>
      <c r="C140" s="5"/>
      <c r="D140" s="5"/>
      <c r="E140" s="5"/>
    </row>
    <row r="141" ht="15.75" customHeight="1">
      <c r="A141" s="5"/>
      <c r="B141" s="5"/>
      <c r="C141" s="5"/>
      <c r="D141" s="5"/>
      <c r="E141" s="5"/>
    </row>
    <row r="142" ht="15.75" customHeight="1">
      <c r="A142" s="5"/>
      <c r="B142" s="5"/>
      <c r="C142" s="5"/>
      <c r="D142" s="5"/>
      <c r="E142" s="5"/>
    </row>
    <row r="143" ht="15.75" customHeight="1">
      <c r="A143" s="5"/>
      <c r="B143" s="5"/>
      <c r="C143" s="5"/>
      <c r="D143" s="5"/>
      <c r="E143" s="5"/>
    </row>
    <row r="144" ht="15.75" customHeight="1">
      <c r="A144" s="5"/>
      <c r="B144" s="5"/>
      <c r="C144" s="5"/>
      <c r="D144" s="5"/>
      <c r="E144" s="5"/>
    </row>
    <row r="145" ht="15.75" customHeight="1">
      <c r="A145" s="5"/>
      <c r="B145" s="5"/>
      <c r="C145" s="5"/>
      <c r="D145" s="5"/>
      <c r="E145" s="5"/>
    </row>
    <row r="146" ht="15.75" customHeight="1">
      <c r="A146" s="5"/>
      <c r="B146" s="5"/>
      <c r="C146" s="5"/>
      <c r="D146" s="5"/>
      <c r="E146" s="5"/>
    </row>
    <row r="147" ht="15.75" customHeight="1">
      <c r="A147" s="5"/>
      <c r="B147" s="5"/>
      <c r="C147" s="5"/>
      <c r="D147" s="5"/>
      <c r="E147" s="5"/>
    </row>
    <row r="148" ht="15.75" customHeight="1">
      <c r="A148" s="5"/>
      <c r="B148" s="5"/>
      <c r="C148" s="5"/>
      <c r="D148" s="5"/>
      <c r="E148" s="5"/>
    </row>
    <row r="149" ht="15.75" customHeight="1">
      <c r="A149" s="5"/>
      <c r="B149" s="5"/>
      <c r="C149" s="5"/>
      <c r="D149" s="5"/>
      <c r="E149" s="5"/>
    </row>
    <row r="150" ht="15.75" customHeight="1">
      <c r="A150" s="5"/>
      <c r="B150" s="5"/>
      <c r="C150" s="5"/>
      <c r="D150" s="5"/>
      <c r="E150" s="5"/>
    </row>
    <row r="151" ht="15.75" customHeight="1">
      <c r="A151" s="5"/>
      <c r="B151" s="5"/>
      <c r="C151" s="5"/>
      <c r="D151" s="5"/>
      <c r="E151" s="5"/>
    </row>
    <row r="152" ht="15.75" customHeight="1">
      <c r="A152" s="5"/>
      <c r="B152" s="5"/>
      <c r="C152" s="5"/>
      <c r="D152" s="5"/>
      <c r="E152" s="5"/>
    </row>
    <row r="153" ht="15.75" customHeight="1">
      <c r="A153" s="5"/>
      <c r="B153" s="5"/>
      <c r="C153" s="5"/>
      <c r="D153" s="5"/>
      <c r="E153" s="5"/>
    </row>
    <row r="154" ht="15.75" customHeight="1">
      <c r="A154" s="5"/>
      <c r="B154" s="5"/>
      <c r="C154" s="5"/>
      <c r="D154" s="5"/>
      <c r="E154" s="5"/>
    </row>
    <row r="155" ht="15.75" customHeight="1">
      <c r="A155" s="5"/>
      <c r="B155" s="5"/>
      <c r="C155" s="5"/>
      <c r="D155" s="5"/>
      <c r="E155" s="5"/>
    </row>
    <row r="156" ht="15.75" customHeight="1">
      <c r="A156" s="5"/>
      <c r="B156" s="5"/>
      <c r="C156" s="5"/>
      <c r="D156" s="5"/>
      <c r="E156" s="5"/>
    </row>
    <row r="157" ht="15.75" customHeight="1">
      <c r="A157" s="5"/>
      <c r="B157" s="5"/>
      <c r="C157" s="5"/>
      <c r="D157" s="5"/>
      <c r="E157" s="5"/>
    </row>
    <row r="158" ht="15.75" customHeight="1">
      <c r="A158" s="5"/>
      <c r="B158" s="5"/>
      <c r="C158" s="5"/>
      <c r="D158" s="5"/>
      <c r="E158" s="5"/>
    </row>
    <row r="159" ht="15.75" customHeight="1">
      <c r="A159" s="5"/>
      <c r="B159" s="5"/>
      <c r="C159" s="5"/>
      <c r="D159" s="5"/>
      <c r="E159" s="5"/>
    </row>
    <row r="160" ht="15.75" customHeight="1">
      <c r="A160" s="5"/>
      <c r="B160" s="5"/>
      <c r="C160" s="5"/>
      <c r="D160" s="5"/>
      <c r="E160" s="5"/>
    </row>
    <row r="161" ht="15.75" customHeight="1">
      <c r="A161" s="5"/>
      <c r="B161" s="5"/>
      <c r="C161" s="5"/>
      <c r="D161" s="5"/>
      <c r="E161" s="5"/>
    </row>
    <row r="162" ht="15.75" customHeight="1">
      <c r="A162" s="5"/>
      <c r="B162" s="5"/>
      <c r="C162" s="5"/>
      <c r="D162" s="5"/>
      <c r="E162" s="5"/>
    </row>
    <row r="163" ht="15.75" customHeight="1">
      <c r="A163" s="5"/>
      <c r="B163" s="5"/>
      <c r="C163" s="5"/>
      <c r="D163" s="5"/>
      <c r="E163" s="5"/>
    </row>
    <row r="164" ht="15.75" customHeight="1">
      <c r="A164" s="5"/>
      <c r="B164" s="5"/>
      <c r="C164" s="5"/>
      <c r="D164" s="5"/>
      <c r="E164" s="5"/>
    </row>
    <row r="165" ht="15.75" customHeight="1">
      <c r="A165" s="5"/>
      <c r="B165" s="5"/>
      <c r="C165" s="5"/>
      <c r="D165" s="5"/>
      <c r="E165" s="5"/>
    </row>
    <row r="166" ht="15.75" customHeight="1">
      <c r="A166" s="5"/>
      <c r="B166" s="5"/>
      <c r="C166" s="5"/>
      <c r="D166" s="5"/>
      <c r="E166" s="5"/>
    </row>
    <row r="167" ht="15.75" customHeight="1">
      <c r="A167" s="5"/>
      <c r="B167" s="5"/>
      <c r="C167" s="5"/>
      <c r="D167" s="5"/>
      <c r="E167" s="5"/>
    </row>
    <row r="168" ht="15.75" customHeight="1">
      <c r="A168" s="5"/>
      <c r="B168" s="5"/>
      <c r="C168" s="5"/>
      <c r="D168" s="5"/>
      <c r="E168" s="5"/>
    </row>
    <row r="169" ht="15.75" customHeight="1">
      <c r="A169" s="5"/>
      <c r="B169" s="5"/>
      <c r="C169" s="5"/>
      <c r="D169" s="5"/>
      <c r="E169" s="5"/>
    </row>
    <row r="170" ht="15.75" customHeight="1">
      <c r="A170" s="5"/>
      <c r="B170" s="5"/>
      <c r="C170" s="5"/>
      <c r="D170" s="5"/>
      <c r="E170" s="5"/>
    </row>
    <row r="171" ht="15.75" customHeight="1">
      <c r="A171" s="5"/>
      <c r="B171" s="5"/>
      <c r="C171" s="5"/>
      <c r="D171" s="5"/>
      <c r="E171" s="5"/>
    </row>
    <row r="172" ht="15.75" customHeight="1">
      <c r="A172" s="5"/>
      <c r="B172" s="5"/>
      <c r="C172" s="5"/>
      <c r="D172" s="5"/>
      <c r="E172" s="5"/>
    </row>
    <row r="173" ht="15.75" customHeight="1">
      <c r="A173" s="5"/>
      <c r="B173" s="5"/>
      <c r="C173" s="5"/>
      <c r="D173" s="5"/>
      <c r="E173" s="5"/>
    </row>
    <row r="174" ht="15.75" customHeight="1">
      <c r="A174" s="5"/>
      <c r="B174" s="5"/>
      <c r="C174" s="5"/>
      <c r="D174" s="5"/>
      <c r="E174" s="5"/>
    </row>
    <row r="175" ht="15.75" customHeight="1">
      <c r="A175" s="5"/>
      <c r="B175" s="5"/>
      <c r="C175" s="5"/>
      <c r="D175" s="5"/>
      <c r="E175" s="5"/>
    </row>
    <row r="176" ht="15.75" customHeight="1">
      <c r="A176" s="5"/>
      <c r="B176" s="5"/>
      <c r="C176" s="5"/>
      <c r="D176" s="5"/>
      <c r="E176" s="5"/>
    </row>
    <row r="177" ht="15.75" customHeight="1">
      <c r="A177" s="5"/>
      <c r="B177" s="5"/>
      <c r="C177" s="5"/>
      <c r="D177" s="5"/>
      <c r="E177" s="5"/>
    </row>
    <row r="178" ht="15.75" customHeight="1">
      <c r="A178" s="5"/>
      <c r="B178" s="5"/>
      <c r="C178" s="5"/>
      <c r="D178" s="5"/>
      <c r="E178" s="5"/>
    </row>
    <row r="179" ht="15.75" customHeight="1">
      <c r="A179" s="5"/>
      <c r="B179" s="5"/>
      <c r="C179" s="5"/>
      <c r="D179" s="5"/>
      <c r="E179" s="5"/>
    </row>
    <row r="180" ht="15.75" customHeight="1">
      <c r="A180" s="5"/>
      <c r="B180" s="5"/>
      <c r="C180" s="5"/>
      <c r="D180" s="5"/>
      <c r="E180" s="5"/>
    </row>
    <row r="181" ht="15.75" customHeight="1">
      <c r="A181" s="5"/>
      <c r="B181" s="5"/>
      <c r="C181" s="5"/>
      <c r="D181" s="5"/>
      <c r="E181" s="5"/>
    </row>
    <row r="182" ht="15.75" customHeight="1">
      <c r="A182" s="5"/>
      <c r="B182" s="5"/>
      <c r="C182" s="5"/>
      <c r="D182" s="5"/>
      <c r="E182" s="5"/>
    </row>
    <row r="183" ht="15.75" customHeight="1">
      <c r="A183" s="5"/>
      <c r="B183" s="5"/>
      <c r="C183" s="5"/>
      <c r="D183" s="5"/>
      <c r="E183" s="5"/>
    </row>
    <row r="184" ht="15.75" customHeight="1">
      <c r="A184" s="5"/>
      <c r="B184" s="5"/>
      <c r="C184" s="5"/>
      <c r="D184" s="5"/>
      <c r="E184" s="5"/>
    </row>
    <row r="185" ht="15.75" customHeight="1">
      <c r="A185" s="5"/>
      <c r="B185" s="5"/>
      <c r="C185" s="5"/>
      <c r="D185" s="5"/>
      <c r="E185" s="5"/>
    </row>
    <row r="186" ht="15.75" customHeight="1">
      <c r="A186" s="5"/>
      <c r="B186" s="5"/>
      <c r="C186" s="5"/>
      <c r="D186" s="5"/>
      <c r="E186" s="5"/>
    </row>
    <row r="187" ht="15.75" customHeight="1">
      <c r="A187" s="5"/>
      <c r="B187" s="5"/>
      <c r="C187" s="5"/>
      <c r="D187" s="5"/>
      <c r="E187" s="5"/>
    </row>
    <row r="188" ht="15.75" customHeight="1">
      <c r="A188" s="5"/>
      <c r="B188" s="5"/>
      <c r="C188" s="5"/>
      <c r="D188" s="5"/>
      <c r="E188" s="5"/>
    </row>
    <row r="189" ht="15.75" customHeight="1">
      <c r="A189" s="5"/>
      <c r="B189" s="5"/>
      <c r="C189" s="5"/>
      <c r="D189" s="5"/>
      <c r="E189" s="5"/>
    </row>
    <row r="190" ht="15.75" customHeight="1">
      <c r="A190" s="5"/>
      <c r="B190" s="5"/>
      <c r="C190" s="5"/>
      <c r="D190" s="5"/>
      <c r="E190" s="5"/>
    </row>
    <row r="191" ht="15.75" customHeight="1">
      <c r="A191" s="5"/>
      <c r="B191" s="5"/>
      <c r="C191" s="5"/>
      <c r="D191" s="5"/>
      <c r="E191" s="5"/>
    </row>
    <row r="192" ht="15.75" customHeight="1">
      <c r="A192" s="5"/>
      <c r="B192" s="5"/>
      <c r="C192" s="5"/>
      <c r="D192" s="5"/>
      <c r="E192" s="5"/>
    </row>
    <row r="193" ht="15.75" customHeight="1">
      <c r="A193" s="5"/>
      <c r="B193" s="5"/>
      <c r="C193" s="5"/>
      <c r="D193" s="5"/>
      <c r="E193" s="5"/>
    </row>
    <row r="194" ht="15.75" customHeight="1">
      <c r="A194" s="5"/>
      <c r="B194" s="5"/>
      <c r="C194" s="5"/>
      <c r="D194" s="5"/>
      <c r="E194" s="5"/>
    </row>
    <row r="195" ht="15.75" customHeight="1">
      <c r="A195" s="5"/>
      <c r="B195" s="5"/>
      <c r="C195" s="5"/>
      <c r="D195" s="5"/>
      <c r="E195" s="5"/>
    </row>
    <row r="196" ht="15.75" customHeight="1">
      <c r="A196" s="5"/>
      <c r="B196" s="5"/>
      <c r="C196" s="5"/>
      <c r="D196" s="5"/>
      <c r="E196" s="5"/>
    </row>
    <row r="197" ht="15.75" customHeight="1">
      <c r="A197" s="5"/>
      <c r="B197" s="5"/>
      <c r="C197" s="5"/>
      <c r="D197" s="5"/>
      <c r="E197" s="5"/>
    </row>
    <row r="198" ht="15.75" customHeight="1">
      <c r="A198" s="5"/>
      <c r="B198" s="5"/>
      <c r="C198" s="5"/>
      <c r="D198" s="5"/>
      <c r="E198" s="5"/>
    </row>
    <row r="199" ht="15.75" customHeight="1">
      <c r="A199" s="5"/>
      <c r="B199" s="5"/>
      <c r="C199" s="5"/>
      <c r="D199" s="5"/>
      <c r="E199" s="5"/>
    </row>
    <row r="200" ht="15.75" customHeight="1">
      <c r="A200" s="5"/>
      <c r="B200" s="5"/>
      <c r="C200" s="5"/>
      <c r="D200" s="5"/>
      <c r="E200" s="5"/>
    </row>
    <row r="201" ht="15.75" customHeight="1">
      <c r="A201" s="5"/>
      <c r="B201" s="5"/>
      <c r="C201" s="5"/>
      <c r="D201" s="5"/>
      <c r="E201" s="5"/>
    </row>
    <row r="202" ht="15.75" customHeight="1">
      <c r="A202" s="5"/>
      <c r="B202" s="5"/>
      <c r="C202" s="5"/>
      <c r="D202" s="5"/>
      <c r="E202" s="5"/>
    </row>
    <row r="203" ht="15.75" customHeight="1">
      <c r="A203" s="5"/>
      <c r="B203" s="5"/>
      <c r="C203" s="5"/>
      <c r="D203" s="5"/>
      <c r="E203" s="5"/>
    </row>
    <row r="204" ht="15.75" customHeight="1">
      <c r="A204" s="5"/>
      <c r="B204" s="5"/>
      <c r="C204" s="5"/>
      <c r="D204" s="5"/>
      <c r="E204" s="5"/>
    </row>
    <row r="205" ht="15.75" customHeight="1">
      <c r="A205" s="5"/>
      <c r="B205" s="5"/>
      <c r="C205" s="5"/>
      <c r="D205" s="5"/>
      <c r="E205" s="5"/>
    </row>
    <row r="206" ht="15.75" customHeight="1">
      <c r="A206" s="5"/>
      <c r="B206" s="5"/>
      <c r="C206" s="5"/>
      <c r="D206" s="5"/>
      <c r="E206" s="5"/>
    </row>
    <row r="207" ht="15.75" customHeight="1">
      <c r="A207" s="5"/>
      <c r="B207" s="5"/>
      <c r="C207" s="5"/>
      <c r="D207" s="5"/>
      <c r="E207" s="5"/>
    </row>
    <row r="208" ht="15.75" customHeight="1">
      <c r="A208" s="5"/>
      <c r="B208" s="5"/>
      <c r="C208" s="5"/>
      <c r="D208" s="5"/>
      <c r="E208" s="5"/>
    </row>
    <row r="209" ht="15.75" customHeight="1">
      <c r="A209" s="5"/>
      <c r="B209" s="5"/>
      <c r="C209" s="5"/>
      <c r="D209" s="5"/>
      <c r="E209" s="5"/>
    </row>
    <row r="210" ht="15.75" customHeight="1">
      <c r="A210" s="5"/>
      <c r="B210" s="5"/>
      <c r="C210" s="5"/>
      <c r="D210" s="5"/>
      <c r="E210" s="5"/>
    </row>
    <row r="211" ht="15.75" customHeight="1">
      <c r="A211" s="5"/>
      <c r="B211" s="5"/>
      <c r="C211" s="5"/>
      <c r="D211" s="5"/>
      <c r="E211" s="5"/>
    </row>
    <row r="212" ht="15.75" customHeight="1">
      <c r="A212" s="5"/>
      <c r="B212" s="5"/>
      <c r="C212" s="5"/>
      <c r="D212" s="5"/>
      <c r="E212" s="5"/>
    </row>
    <row r="213" ht="15.75" customHeight="1">
      <c r="A213" s="5"/>
      <c r="B213" s="5"/>
      <c r="C213" s="5"/>
      <c r="D213" s="5"/>
      <c r="E213" s="5"/>
    </row>
    <row r="214" ht="15.75" customHeight="1">
      <c r="A214" s="5"/>
      <c r="B214" s="5"/>
      <c r="C214" s="5"/>
      <c r="D214" s="5"/>
      <c r="E214" s="5"/>
    </row>
    <row r="215" ht="15.75" customHeight="1">
      <c r="A215" s="5"/>
      <c r="B215" s="5"/>
      <c r="C215" s="5"/>
      <c r="D215" s="5"/>
      <c r="E215" s="5"/>
    </row>
    <row r="216" ht="15.75" customHeight="1">
      <c r="A216" s="5"/>
      <c r="B216" s="5"/>
      <c r="C216" s="5"/>
      <c r="D216" s="5"/>
      <c r="E216" s="5"/>
    </row>
    <row r="217" ht="15.75" customHeight="1">
      <c r="A217" s="5"/>
      <c r="B217" s="5"/>
      <c r="C217" s="5"/>
      <c r="D217" s="5"/>
      <c r="E217" s="5"/>
    </row>
    <row r="218" ht="15.75" customHeight="1">
      <c r="A218" s="5"/>
      <c r="B218" s="5"/>
      <c r="C218" s="5"/>
      <c r="D218" s="5"/>
      <c r="E218" s="5"/>
    </row>
    <row r="219" ht="15.75" customHeight="1">
      <c r="A219" s="5"/>
      <c r="B219" s="5"/>
      <c r="C219" s="5"/>
      <c r="D219" s="5"/>
      <c r="E219" s="5"/>
    </row>
    <row r="220" ht="15.75" customHeight="1">
      <c r="A220" s="5"/>
      <c r="B220" s="5"/>
      <c r="C220" s="5"/>
      <c r="D220" s="5"/>
      <c r="E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