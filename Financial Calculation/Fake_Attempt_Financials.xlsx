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. How it works" sheetId="1" r:id="rId5"/>
    <sheet state="visible" name="2. Financials" sheetId="2" r:id="rId6"/>
    <sheet state="visible" name="3. Monthly projection" sheetId="3" r:id="rId7"/>
    <sheet state="visible" name="RMS" sheetId="4" r:id="rId8"/>
    <sheet state="visible" name="KPI" sheetId="5" r:id="rId9"/>
  </sheets>
  <definedNames/>
  <calcPr/>
</workbook>
</file>

<file path=xl/sharedStrings.xml><?xml version="1.0" encoding="utf-8"?>
<sst xmlns="http://schemas.openxmlformats.org/spreadsheetml/2006/main" count="406" uniqueCount="283">
  <si>
    <t>Attempt Verification System: how it decides</t>
  </si>
  <si>
    <t>Monthly projection: all Valmo orders, fake attempts falling as the system deters riders</t>
  </si>
  <si>
    <t>Attempt Verification System: incremental cash flow (existing team, no new hires)</t>
  </si>
  <si>
    <t>Input</t>
  </si>
  <si>
    <t>Item</t>
  </si>
  <si>
    <t>Risk</t>
  </si>
  <si>
    <t>Check</t>
  </si>
  <si>
    <t>Value</t>
  </si>
  <si>
    <t>Unit</t>
  </si>
  <si>
    <t>Valmo orders per day today</t>
  </si>
  <si>
    <t>Impact</t>
  </si>
  <si>
    <t>Probability</t>
  </si>
  <si>
    <t>Guardrail</t>
  </si>
  <si>
    <t>Poor/uncertain GPS &amp; address accuracy in Tier 3/4</t>
  </si>
  <si>
    <t>High</t>
  </si>
  <si>
    <t>Source / note</t>
  </si>
  <si>
    <t>orders/day</t>
  </si>
  <si>
    <t>Valmo share of Meesho shipped orders today</t>
  </si>
  <si>
    <t>A. Volume</t>
  </si>
  <si>
    <t>%</t>
  </si>
  <si>
    <t>Increase in Valmo share per month</t>
  </si>
  <si>
    <t>Use GeoIndia confidence-based adaptive geofencing + road accessibility + historical delivery locations; never use a fixed radius</t>
  </si>
  <si>
    <t>Customer doesn't answer IVR/WhatsApp</t>
  </si>
  <si>
    <t>No response = inconclusive; rely on Geo + call + rider history; use IVR/SMS fallback</t>
  </si>
  <si>
    <t>Customer gives incorrect response / colludes with rider</t>
  </si>
  <si>
    <t>Medium</t>
  </si>
  <si>
    <t>Customer response is only one signal; require convergence across independent signals</t>
  </si>
  <si>
    <t>GPS spoofing / deliberate rider gaming</t>
  </si>
  <si>
    <t>Combine GPS with trajectory, dwell, call behaviour and locality-level rider anomaly; no single signal triggers punishment</t>
  </si>
  <si>
    <t>High RTO in genuinely difficult locality</t>
  </si>
  <si>
    <t>Total Valmo hubs</t>
  </si>
  <si>
    <t>Compare rider against matched local peers and adjust for COD, distance, address quality and delivery time</t>
  </si>
  <si>
    <t>AI false positives</t>
  </si>
  <si>
    <t>Use Genuine / Uncertain / Suspicious classification; high-impact action requires high-confidence evidence + human review</t>
  </si>
  <si>
    <t>IVR bridging cost too high</t>
  </si>
  <si>
    <t>Question it answers</t>
  </si>
  <si>
    <t>Use risk-based escalation; bridge only ambiguous/high-risk attempts rather than every NDR</t>
  </si>
  <si>
    <t>Data</t>
  </si>
  <si>
    <t>Already exists?</t>
  </si>
  <si>
    <t>Verification creates customer/rider friction</t>
  </si>
  <si>
    <t>Can the rider game it?</t>
  </si>
  <si>
    <t>Source</t>
  </si>
  <si>
    <t>One-tap WhatsApp + short IVR; passive telemetry; limit verification to failed attempts</t>
  </si>
  <si>
    <t>Poor network prevents telemetry / customer response</t>
  </si>
  <si>
    <t>Offline-first rider telemetry + SMS/IVR fallback; missing data reduces confidence rather than increasing fraud probability</t>
  </si>
  <si>
    <t>1. Masked call</t>
  </si>
  <si>
    <t>New rider has insufficient history</t>
  </si>
  <si>
    <t>hubs</t>
  </si>
  <si>
    <t>Use locality peer benchmark until sufficient rider-level data is available</t>
  </si>
  <si>
    <t>Team's primary research</t>
  </si>
  <si>
    <t>Does the customer pick up when the system calls them (customer dialled first, 'Meesho Delivery' caller ID)?</t>
  </si>
  <si>
    <t>Share of hubs that are small</t>
  </si>
  <si>
    <t>Call log: answered, ring time, duration, recording</t>
  </si>
  <si>
    <t>Partly: Valmo records rider–customer calls</t>
  </si>
  <si>
    <t>Poor GPS / network in Tier 3–4+</t>
  </si>
  <si>
    <t>No: rider isn't on the customer leg</t>
  </si>
  <si>
    <t>Valmo privacy policy; Exotel</t>
  </si>
  <si>
    <t>Adaptive GeoIndia geofence + trajectory/dwell; missing GPS ≠ fake attempt</t>
  </si>
  <si>
    <t>2. WhatsApp reply</t>
  </si>
  <si>
    <t>What does the customer say: Talk to rider / Reschedule / Nobody came?</t>
  </si>
  <si>
    <t>Customer's tap</t>
  </si>
  <si>
    <t>Customer doesn't answer verification</t>
  </si>
  <si>
    <t>New message template</t>
  </si>
  <si>
    <t>No</t>
  </si>
  <si>
    <t>Meta WhatsApp pricing</t>
  </si>
  <si>
    <t>No response ≠ fake; combine call, geo and rider-history signals</t>
  </si>
  <si>
    <t>3. Confidence-based geofence</t>
  </si>
  <si>
    <t>Is the rider inside a zone sized by how sure GeoIndia is of the address?</t>
  </si>
  <si>
    <t>Rider games GPS / system</t>
  </si>
  <si>
    <t>Rider GPS, GeoIndia cell, delivery history, anti-spoofing</t>
  </si>
  <si>
    <t>Partly: GeoIndia powers geofencing</t>
  </si>
  <si>
    <t>Hard with anti-spoofing</t>
  </si>
  <si>
    <t>GeoIndia paper (EMNLP 2024)</t>
  </si>
  <si>
    <t>points/month</t>
  </si>
  <si>
    <t>4. Peer comparison</t>
  </si>
  <si>
    <t>Is this rider's failed-attempt / RTO rate far above other riders in the same locality?</t>
  </si>
  <si>
    <t>Rider and locality RTO history</t>
  </si>
  <si>
    <t>Data exists; comparison is new</t>
  </si>
  <si>
    <t>Not on one order</t>
  </si>
  <si>
    <t>No published benchmark</t>
  </si>
  <si>
    <t>Orders per small hub per day, low</t>
  </si>
  <si>
    <t>Decision rules (rules first; a model later, trained on pilot data)</t>
  </si>
  <si>
    <t>Maximum Valmo share</t>
  </si>
  <si>
    <t>Combine GPS + dwell + call metadata + customer response + peer benchmark</t>
  </si>
  <si>
    <t>Orders per small hub per day, high</t>
  </si>
  <si>
    <t>Genuine difficult locations flagged as fake</t>
  </si>
  <si>
    <t>Customer</t>
  </si>
  <si>
    <t>Compare with matched local riders, controlling for locality/address quality</t>
  </si>
  <si>
    <t>Small-hub orders per day</t>
  </si>
  <si>
    <t>False-positive rider punishment</t>
  </si>
  <si>
    <t>Rider location</t>
  </si>
  <si>
    <t>Call log</t>
  </si>
  <si>
    <t>Peer comparison</t>
  </si>
  <si>
    <t>Verdict</t>
  </si>
  <si>
    <t>3-way output: Genuine / Uncertain / Suspicious; investigation before action</t>
  </si>
  <si>
    <t>Action</t>
  </si>
  <si>
    <t>Picks up / taps Talk or Reschedule</t>
  </si>
  <si>
    <t>Any</t>
  </si>
  <si>
    <t>Answered</t>
  </si>
  <si>
    <t>Growth in Meesho's total orders per month</t>
  </si>
  <si>
    <t>Genuine: rescued</t>
  </si>
  <si>
    <t>%/month</t>
  </si>
  <si>
    <t>Deliver now or reschedule</t>
  </si>
  <si>
    <t>'Nobody came'</t>
  </si>
  <si>
    <t>Share of orders through small hubs</t>
  </si>
  <si>
    <t>Outside zone</t>
  </si>
  <si>
    <t>Fake</t>
  </si>
  <si>
    <t>Same-day re-attempt; counts in rider score</t>
  </si>
  <si>
    <t>Inside zone</t>
  </si>
  <si>
    <t>Rider leg connected</t>
  </si>
  <si>
    <t>Disputed</t>
  </si>
  <si>
    <t>Hub reviews recording; re-attempt</t>
  </si>
  <si>
    <t>Silent</t>
  </si>
  <si>
    <t>Phone rang</t>
  </si>
  <si>
    <t>Normal</t>
  </si>
  <si>
    <t>Likely genuine</t>
  </si>
  <si>
    <t>Normal re-attempt</t>
  </si>
  <si>
    <t>Rider is an outlier</t>
  </si>
  <si>
    <t>Watch</t>
  </si>
  <si>
    <t>Re-attempt; rider review queue</t>
  </si>
  <si>
    <t>Rider rejected leg / no call</t>
  </si>
  <si>
    <t>Suspect</t>
  </si>
  <si>
    <t>Hold status; hub review; re-attempt</t>
  </si>
  <si>
    <t>Unreachable</t>
  </si>
  <si>
    <t>Call failed</t>
  </si>
  <si>
    <t>Genuine: unreachable</t>
  </si>
  <si>
    <t>SMS/WhatsApp; flag number</t>
  </si>
  <si>
    <t>Small hubs × midpoint orders per hub</t>
  </si>
  <si>
    <t>Fake-attempt rate in small hubs</t>
  </si>
  <si>
    <t>% of orders</t>
  </si>
  <si>
    <t>Fake attempts per day, small hubs</t>
  </si>
  <si>
    <t>Starting fake-attempt rate, small hubs</t>
  </si>
  <si>
    <t>per day</t>
  </si>
  <si>
    <t>Small-hub orders × fake rate</t>
  </si>
  <si>
    <t>Share of hubs that are large</t>
  </si>
  <si>
    <t>Starting fake-attempt rate, large hubs</t>
  </si>
  <si>
    <t>Monthly fall in fake-attempt rate once riders know they are checked</t>
  </si>
  <si>
    <t>% per month</t>
  </si>
  <si>
    <t>Genuine 'customer not home' rate</t>
  </si>
  <si>
    <t>Remaining hubs</t>
  </si>
  <si>
    <t>Orders per large hub per day, low</t>
  </si>
  <si>
    <t>Orders per large hub per day, high</t>
  </si>
  <si>
    <t>Large-hub orders per day</t>
  </si>
  <si>
    <t>Large hubs × midpoint orders per hub</t>
  </si>
  <si>
    <t>Fake-attempt rate in large hubs</t>
  </si>
  <si>
    <t>Days per month</t>
  </si>
  <si>
    <t>Fake attempts per day, large hubs</t>
  </si>
  <si>
    <t>days</t>
  </si>
  <si>
    <t>Month-by-month</t>
  </si>
  <si>
    <t>Large-hub orders × fake rate</t>
  </si>
  <si>
    <t>Total orders per day</t>
  </si>
  <si>
    <t>Month</t>
  </si>
  <si>
    <t>Valmo share</t>
  </si>
  <si>
    <t>Small + large</t>
  </si>
  <si>
    <t>Valmo orders / day</t>
  </si>
  <si>
    <t>Total fake attempts per day</t>
  </si>
  <si>
    <t>Fake rate small</t>
  </si>
  <si>
    <t>Fake rate large</t>
  </si>
  <si>
    <t>Fakes / day with system</t>
  </si>
  <si>
    <t>Fakes / day without system</t>
  </si>
  <si>
    <t>Fakes prevented / day</t>
  </si>
  <si>
    <t>'Customer unavailable' rate (failed, not cancelled)</t>
  </si>
  <si>
    <t>Fakes caught / day</t>
  </si>
  <si>
    <t>RTOs avoided / day</t>
  </si>
  <si>
    <t>'Unavailable' taps / day</t>
  </si>
  <si>
    <t>Saved ₹ Cr</t>
  </si>
  <si>
    <t>Cost ₹ Cr</t>
  </si>
  <si>
    <t>Net ₹ Cr</t>
  </si>
  <si>
    <t>Cumulative net ₹ Cr</t>
  </si>
  <si>
    <t>Your hub data, 5–10 Sep: (2,006 sent − 1,821 delivered − 90 cancelled) ÷ 2,006. One hub; applied to large hubs too (ASSUMPTION).</t>
  </si>
  <si>
    <t>'Unavailable' taps per day (each triggers the system)</t>
  </si>
  <si>
    <t>taps/day</t>
  </si>
  <si>
    <t>Total orders × unavailable rate</t>
  </si>
  <si>
    <t>…of which genuine 'customer not available'</t>
  </si>
  <si>
    <t>Taps − fake attempts</t>
  </si>
  <si>
    <t>B. Value of one rescued order</t>
  </si>
  <si>
    <t>Return shipping avoided</t>
  </si>
  <si>
    <t>₹/order</t>
  </si>
  <si>
    <t>Reverse logistics cost per RTO (case pack, illustrative)</t>
  </si>
  <si>
    <t>Net cash per rescued order</t>
  </si>
  <si>
    <t>Return avoided − rider payout</t>
  </si>
  <si>
    <t>C. Cost inputs</t>
  </si>
  <si>
    <t>WhatsApp message</t>
  </si>
  <si>
    <t>KPI</t>
  </si>
  <si>
    <t>Formula</t>
  </si>
  <si>
    <t>What it tells</t>
  </si>
  <si>
    <t>RTO Rate</t>
  </si>
  <si>
    <t>₹/tap</t>
  </si>
  <si>
    <t>Total RTO Orders ÷ Total Orders × 100</t>
  </si>
  <si>
    <t>Overall scale of the RTO problem</t>
  </si>
  <si>
    <t>Fake-Attempt RTO Rate</t>
  </si>
  <si>
    <t>Fake-Attempt RTOs ÷ Total RTOs × 100</t>
  </si>
  <si>
    <t>How much of RTO is attributable to suspected/genuine fake attempts</t>
  </si>
  <si>
    <t>Meta utility rate ₹0.115 from 1 Oct 2026 + 18% GST (Whautomate)</t>
  </si>
  <si>
    <t>Prevented RTOs</t>
  </si>
  <si>
    <t>Orders that would have reached RTO but were successfully delivered after intervention</t>
  </si>
  <si>
    <t>Direct number of RTOs prevented by the solution</t>
  </si>
  <si>
    <t>Detection Precision</t>
  </si>
  <si>
    <t>Confirmed Fake Attempts ÷ Attempts Flagged as Suspicious × 100</t>
  </si>
  <si>
    <t>How accurately the AI identifies fake attempts without wrongly flagging genuine attempts</t>
  </si>
  <si>
    <t>False Positive Rate</t>
  </si>
  <si>
    <t>Genuine Attempts Incorrectly Flagged ÷ Total Genuine Attempts × 100</t>
  </si>
  <si>
    <t>How often genuine riders are incorrectly flagged</t>
  </si>
  <si>
    <t>Customer Response Rate</t>
  </si>
  <si>
    <t>Customers Responding to IVR/WhatsApp ÷ Customers Contacted × 100</t>
  </si>
  <si>
    <t>How effectively the customer-verification layer obtains usable evidence</t>
  </si>
  <si>
    <t>Cost per Prevented RTO</t>
  </si>
  <si>
    <t>Total Solution Cost ÷ Prevented RTOs</t>
  </si>
  <si>
    <t>Cost required to prevent each RTO</t>
  </si>
  <si>
    <t>Net Savings</t>
  </si>
  <si>
    <t>Avoided RTO Cost − (Telephony + WhatsApp + AI/Infrastructure + Incremental Reattempt Costs)</t>
  </si>
  <si>
    <t>Actual financial benefit generated by the solution</t>
  </si>
  <si>
    <t>Fake-Attempt RTO Rate ↓</t>
  </si>
  <si>
    <t>Target / Direction</t>
  </si>
  <si>
    <t>Fake-Attempt RTO Reduction ↑</t>
  </si>
  <si>
    <t>↓</t>
  </si>
  <si>
    <t>Detection Precision ↑</t>
  </si>
  <si>
    <t>False Positive Rate ↓</t>
  </si>
  <si>
    <t>↑</t>
  </si>
  <si>
    <t>Customer Verification Response Rate ↑</t>
  </si>
  <si>
    <t>Cost per RTO Prevented ↓</t>
  </si>
  <si>
    <t>Monitor</t>
  </si>
  <si>
    <t>Masked call rate per leg</t>
  </si>
  <si>
    <t>No negative impact</t>
  </si>
  <si>
    <t>₹/min per leg</t>
  </si>
  <si>
    <t>TeleCMI: masking in India 'typically starts around Rs.1.50 per minute'; both legs billed</t>
  </si>
  <si>
    <t>Similar across tiers</t>
  </si>
  <si>
    <t>Minutes per answered call</t>
  </si>
  <si>
    <t>minutes</t>
  </si>
  <si>
    <t>ASSUMPTION: enough to say 'coming down' or give directions</t>
  </si>
  <si>
    <t>Ring time billed on an unanswered call</t>
  </si>
  <si>
    <t>ASSUMPTION: ~30 s timeout, customer leg only (Exotel can bill from ringing)</t>
  </si>
  <si>
    <t>Truecaller verified caller ID</t>
  </si>
  <si>
    <t>₹/call</t>
  </si>
  <si>
    <t>ASSUMPTION: enterprise-negotiated, price not public. Midpoint of ₹0.10–0.50 range (see section G)</t>
  </si>
  <si>
    <t>Scoring engine running cost</t>
  </si>
  <si>
    <t>₹/day</t>
  </si>
  <si>
    <t>Built by the existing team on existing data; running cost not public (0 = blank)</t>
  </si>
  <si>
    <t>D. Where the 52,348 fake attempts go (per day)</t>
  </si>
  <si>
    <t>Step</t>
  </si>
  <si>
    <t>Rate</t>
  </si>
  <si>
    <t>Orders per day</t>
  </si>
  <si>
    <t>Fake attempts</t>
  </si>
  <si>
    <t>From section A (small + large hubs)</t>
  </si>
  <si>
    <t>Customer replies to call / WhatsApp → fake exposed</t>
  </si>
  <si>
    <t>WEAKEST INPUT. Low end of HillTeck vendor range (calls 55–70%, WhatsApp 60–75%) for D2C order confirmation, not doorstep calls. Validate in pilot week 1; see section F.</t>
  </si>
  <si>
    <t>Customer silent</t>
  </si>
  <si>
    <t>Fake attempts − customer replies</t>
  </si>
  <si>
    <t>…of these, caught by the confidence-based geofence</t>
  </si>
  <si>
    <t>Location check alone: Flipkart cut fake attempts 7% with better geocodes (peer-reviewed). Not Blowhorn's &gt;25%, which includes customer calls and would double-count.</t>
  </si>
  <si>
    <t>…of the rest, caught by peer comparison</t>
  </si>
  <si>
    <t>No published figure: 0 until the pilot measures it</t>
  </si>
  <si>
    <t>Total fake attempts caught</t>
  </si>
  <si>
    <t>Sum of the three</t>
  </si>
  <si>
    <t>Rider sent back → parcel delivered</t>
  </si>
  <si>
    <t>~85% delivered near the hub (case pack: RTO 15% at ~2 km)</t>
  </si>
  <si>
    <t>RTOs avoided (would otherwise have gone back)</t>
  </si>
  <si>
    <t>Rate = 1 − re-attempt success. Your hub data: only 34 of 141 re-attempts delivered</t>
  </si>
  <si>
    <t>E. Money per day</t>
  </si>
  <si>
    <t>Cash saved: RTOs avoided × ₹106</t>
  </si>
  <si>
    <t>RTOs avoided × net cash per rescued order</t>
  </si>
  <si>
    <t>System cost: runs on every 'unavailable' tap</t>
  </si>
  <si>
    <t>We can't tell fake from genuine before checking, so all taps are paid for: WhatsApp + Truecaller on each; masked call when answered; ring time when not</t>
  </si>
  <si>
    <t>Net cash per day</t>
  </si>
  <si>
    <t>Saved − cost</t>
  </si>
  <si>
    <t>Net cash per year</t>
  </si>
  <si>
    <t>₹ Cr/yr</t>
  </si>
  <si>
    <t>× 365 ÷ 1 crore</t>
  </si>
  <si>
    <t>Not counted (upside): genuine 'not home' deliveries rescued by the same call</t>
  </si>
  <si>
    <t>Genuine taps × respond × 85.5% (your reschedule success) × would-RTO. Excluded to keep the case on fake attempts only.</t>
  </si>
  <si>
    <t>F. What if fewer (or more) customers reply?</t>
  </si>
  <si>
    <t>Customers who reply</t>
  </si>
  <si>
    <t>Net ₹ Cr / year</t>
  </si>
  <si>
    <t>G. Truecaller price (enterprise-negotiated, not public)</t>
  </si>
  <si>
    <t>Truecaller ₹/call</t>
  </si>
  <si>
    <t>Cost ₹ lakh / year</t>
  </si>
  <si>
    <t>Year</t>
  </si>
  <si>
    <t>Avg / total →</t>
  </si>
  <si>
    <t>H. Checks before presenting</t>
  </si>
  <si>
    <t>Fakes as a share of 'unavailable' taps</t>
  </si>
  <si>
    <t>Blowhorn reports 12–15% of failed deliveries are fake. Confirm with hub managers.</t>
  </si>
  <si>
    <t>Hub-based orders vs stated 42 lakh/day</t>
  </si>
  <si>
    <t>Below 100% = hub inputs and the 42 lakh figure don't reconcile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</si>
</sst>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0.0%"/>
    <numFmt numFmtId="165" formatCode="0.000"/>
    <numFmt numFmtId="166" formatCode="#,##0.0"/>
    <numFmt numFmtId="167" formatCode="0.0"/>
    <numFmt numFmtId="168" formatCode="\₹0.00"/>
  </numFmts>
  <fonts count="15">
    <font>
      <sz val="11.0"/>
      <color theme="1"/>
      <name val="Calibri"/>
      <scheme val="minor"/>
    </font>
    <font>
      <b/>
      <sz val="13.0"/>
      <color rgb="FF000000"/>
      <name val="Arial"/>
    </font>
    <font>
      <b/>
      <sz val="10.0"/>
      <color rgb="FFFFFFFF"/>
      <name val="Arial"/>
    </font>
    <font>
      <b/>
      <color theme="1"/>
      <name val="Calibri"/>
      <scheme val="minor"/>
    </font>
    <font>
      <sz val="10.0"/>
      <color rgb="FF000000"/>
      <name val="Arial"/>
    </font>
    <font>
      <color theme="1"/>
      <name val="Calibri"/>
      <scheme val="minor"/>
    </font>
    <font>
      <sz val="10.0"/>
      <color theme="1"/>
      <name val="Arial"/>
    </font>
    <font>
      <b/>
      <sz val="10.0"/>
      <color rgb="FF000000"/>
      <name val="Arial"/>
    </font>
    <font/>
    <font>
      <sz val="10.0"/>
      <color rgb="FF0000FF"/>
      <name val="Arial"/>
    </font>
    <font>
      <b/>
      <sz val="10.0"/>
      <color theme="1"/>
      <name val="Arial"/>
    </font>
    <font>
      <u/>
      <sz val="10.0"/>
      <color rgb="FF0563C1"/>
      <name val="Arial"/>
    </font>
    <font>
      <sz val="11.0"/>
      <color rgb="FF000000"/>
      <name val="Calibri"/>
    </font>
    <font>
      <sz val="11.0"/>
      <color theme="1"/>
      <name val="Calibri"/>
    </font>
    <font>
      <i/>
      <sz val="9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4CCCC"/>
        <bgColor rgb="FFF4CCCC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top style="thin">
        <color rgb="FFBFBFBF"/>
      </top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</borders>
  <cellStyleXfs count="1">
    <xf borderId="0" fillId="0" fontId="0" numFmtId="0" applyAlignment="1" applyFont="1"/>
  </cellStyleXfs>
  <cellXfs count="6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1" fillId="2" fontId="2" numFmtId="0" xfId="0" applyAlignment="1" applyBorder="1" applyFill="1" applyFont="1">
      <alignment horizontal="center" shrinkToFit="0" vertical="bottom" wrapText="0"/>
    </xf>
    <xf borderId="0" fillId="0" fontId="3" numFmtId="0" xfId="0" applyAlignment="1" applyFont="1">
      <alignment readingOrder="0"/>
    </xf>
    <xf borderId="2" fillId="2" fontId="2" numFmtId="0" xfId="0" applyAlignment="1" applyBorder="1" applyFill="1" applyFont="1">
      <alignment horizontal="center" shrinkToFit="0" vertical="bottom" wrapText="0"/>
    </xf>
    <xf borderId="3" fillId="0" fontId="4" numFmtId="0" xfId="0" applyAlignment="1" applyBorder="1" applyFont="1">
      <alignment shrinkToFit="0" vertical="center" wrapText="1"/>
    </xf>
    <xf borderId="0" fillId="3" fontId="5" numFmtId="0" xfId="0" applyAlignment="1" applyFill="1" applyFont="1">
      <alignment readingOrder="0"/>
    </xf>
    <xf borderId="3" fillId="0" fontId="6" numFmtId="3" xfId="0" applyAlignment="1" applyBorder="1" applyFont="1" applyNumberFormat="1">
      <alignment shrinkToFit="0" vertical="center" wrapText="1"/>
    </xf>
    <xf borderId="0" fillId="4" fontId="5" numFmtId="0" xfId="0" applyAlignment="1" applyFill="1" applyFont="1">
      <alignment readingOrder="0"/>
    </xf>
    <xf borderId="3" fillId="0" fontId="6" numFmtId="10" xfId="0" applyAlignment="1" applyBorder="1" applyFont="1" applyNumberFormat="1">
      <alignment shrinkToFit="0" vertical="center" wrapText="1"/>
    </xf>
    <xf borderId="4" fillId="5" fontId="7" numFmtId="0" xfId="0" applyAlignment="1" applyBorder="1" applyFill="1" applyFont="1">
      <alignment horizontal="center" shrinkToFit="0" vertical="bottom" wrapText="0"/>
    </xf>
    <xf borderId="0" fillId="0" fontId="5" numFmtId="0" xfId="0" applyAlignment="1" applyFont="1">
      <alignment readingOrder="0"/>
    </xf>
    <xf borderId="5" fillId="0" fontId="8" numFmtId="0" xfId="0" applyBorder="1" applyFont="1"/>
    <xf borderId="0" fillId="6" fontId="5" numFmtId="0" xfId="0" applyAlignment="1" applyFill="1" applyFont="1">
      <alignment readingOrder="0"/>
    </xf>
    <xf borderId="6" fillId="0" fontId="8" numFmtId="0" xfId="0" applyBorder="1" applyFont="1"/>
    <xf borderId="1" fillId="2" fontId="2" numFmtId="0" xfId="0" applyAlignment="1" applyBorder="1" applyFill="1" applyFont="1">
      <alignment horizontal="center" shrinkToFit="0" vertical="center" wrapText="1"/>
    </xf>
    <xf borderId="3" fillId="0" fontId="4" numFmtId="0" xfId="0" applyAlignment="1" applyBorder="1" applyFont="1">
      <alignment shrinkToFit="0" vertical="center" wrapText="0"/>
    </xf>
    <xf borderId="3" fillId="0" fontId="4" numFmtId="3" xfId="0" applyAlignment="1" applyBorder="1" applyFont="1" applyNumberFormat="1">
      <alignment shrinkToFit="0" vertical="center" wrapText="0"/>
    </xf>
    <xf borderId="3" fillId="0" fontId="7" numFmtId="0" xfId="0" applyAlignment="1" applyBorder="1" applyFont="1">
      <alignment shrinkToFit="0" vertical="top" wrapText="1"/>
    </xf>
    <xf borderId="0" fillId="0" fontId="3" numFmtId="0" xfId="0" applyAlignment="1" applyFont="1">
      <alignment horizontal="center" readingOrder="0"/>
    </xf>
    <xf borderId="3" fillId="0" fontId="4" numFmtId="0" xfId="0" applyAlignment="1" applyBorder="1" applyFont="1">
      <alignment shrinkToFit="0" vertical="top" wrapText="1"/>
    </xf>
    <xf borderId="3" fillId="0" fontId="6" numFmtId="164" xfId="0" applyAlignment="1" applyBorder="1" applyFont="1" applyNumberFormat="1">
      <alignment shrinkToFit="0" vertical="center" wrapText="1"/>
    </xf>
    <xf borderId="3" fillId="0" fontId="4" numFmtId="9" xfId="0" applyAlignment="1" applyBorder="1" applyFont="1" applyNumberFormat="1">
      <alignment shrinkToFit="0" vertical="center" wrapText="0"/>
    </xf>
    <xf borderId="0" fillId="0" fontId="7" numFmtId="0" xfId="0" applyAlignment="1" applyFont="1">
      <alignment shrinkToFit="0" vertical="bottom" wrapText="0"/>
    </xf>
    <xf borderId="2" fillId="2" fontId="2" numFmtId="0" xfId="0" applyAlignment="1" applyBorder="1" applyFill="1" applyFont="1">
      <alignment horizontal="center" shrinkToFit="0" vertical="center" wrapText="1"/>
    </xf>
    <xf borderId="3" fillId="0" fontId="6" numFmtId="9" xfId="0" applyAlignment="1" applyBorder="1" applyFont="1" applyNumberFormat="1">
      <alignment shrinkToFit="0" vertical="center" wrapText="1"/>
    </xf>
    <xf borderId="2" fillId="0" fontId="4" numFmtId="0" xfId="0" applyAlignment="1" applyBorder="1" applyFont="1">
      <alignment shrinkToFit="0" vertical="top" wrapText="1"/>
    </xf>
    <xf borderId="2" fillId="0" fontId="7" numFmtId="0" xfId="0" applyAlignment="1" applyBorder="1" applyFont="1">
      <alignment shrinkToFit="0" vertical="top" wrapText="1"/>
    </xf>
    <xf borderId="3" fillId="0" fontId="4" numFmtId="10" xfId="0" applyAlignment="1" applyBorder="1" applyFont="1" applyNumberFormat="1">
      <alignment shrinkToFit="0" vertical="center" wrapText="0"/>
    </xf>
    <xf borderId="3" fillId="0" fontId="9" numFmtId="3" xfId="0" applyAlignment="1" applyBorder="1" applyFont="1" applyNumberFormat="1">
      <alignment shrinkToFit="0" vertical="center" wrapText="1"/>
    </xf>
    <xf borderId="3" fillId="2" fontId="2" numFmtId="0" xfId="0" applyAlignment="1" applyBorder="1" applyFill="1" applyFont="1">
      <alignment horizontal="center" shrinkToFit="0" vertical="center" wrapText="1"/>
    </xf>
    <xf borderId="3" fillId="0" fontId="4" numFmtId="164" xfId="0" applyAlignment="1" applyBorder="1" applyFont="1" applyNumberFormat="1">
      <alignment shrinkToFit="0" vertical="center" wrapText="0"/>
    </xf>
    <xf borderId="3" fillId="0" fontId="4" numFmtId="1" xfId="0" applyAlignment="1" applyBorder="1" applyFont="1" applyNumberFormat="1">
      <alignment horizontal="center" shrinkToFit="0" vertical="bottom" wrapText="0"/>
    </xf>
    <xf borderId="3" fillId="0" fontId="4" numFmtId="164" xfId="0" applyAlignment="1" applyBorder="1" applyFont="1" applyNumberFormat="1">
      <alignment horizontal="center" shrinkToFit="0" vertical="bottom" wrapText="0"/>
    </xf>
    <xf borderId="3" fillId="0" fontId="6" numFmtId="3" xfId="0" applyAlignment="1" applyBorder="1" applyFont="1" applyNumberFormat="1">
      <alignment shrinkToFit="0" vertical="center" wrapText="0"/>
    </xf>
    <xf borderId="3" fillId="7" fontId="7" numFmtId="0" xfId="0" applyAlignment="1" applyBorder="1" applyFill="1" applyFont="1">
      <alignment shrinkToFit="0" vertical="center" wrapText="0"/>
    </xf>
    <xf borderId="3" fillId="0" fontId="4" numFmtId="3" xfId="0" applyAlignment="1" applyBorder="1" applyFont="1" applyNumberFormat="1">
      <alignment horizontal="center" shrinkToFit="0" vertical="bottom" wrapText="0"/>
    </xf>
    <xf borderId="3" fillId="7" fontId="10" numFmtId="3" xfId="0" applyAlignment="1" applyBorder="1" applyFill="1" applyFont="1" applyNumberFormat="1">
      <alignment shrinkToFit="0" vertical="center" wrapText="0"/>
    </xf>
    <xf borderId="3" fillId="0" fontId="4" numFmtId="10" xfId="0" applyAlignment="1" applyBorder="1" applyFont="1" applyNumberFormat="1">
      <alignment horizontal="center" shrinkToFit="0" vertical="bottom" wrapText="0"/>
    </xf>
    <xf borderId="3" fillId="7" fontId="4" numFmtId="0" xfId="0" applyAlignment="1" applyBorder="1" applyFill="1" applyFont="1">
      <alignment shrinkToFit="0" vertical="center" wrapText="0"/>
    </xf>
    <xf borderId="3" fillId="7" fontId="4" numFmtId="0" xfId="0" applyAlignment="1" applyBorder="1" applyFill="1" applyFont="1">
      <alignment shrinkToFit="0" vertical="center" wrapText="1"/>
    </xf>
    <xf borderId="3" fillId="0" fontId="4" numFmtId="0" xfId="0" applyAlignment="1" applyBorder="1" applyFont="1">
      <alignment readingOrder="0" shrinkToFit="0" vertical="center" wrapText="0"/>
    </xf>
    <xf borderId="3" fillId="0" fontId="6" numFmtId="165" xfId="0" applyAlignment="1" applyBorder="1" applyFont="1" applyNumberFormat="1">
      <alignment readingOrder="0" shrinkToFit="0" vertical="center" wrapText="0"/>
    </xf>
    <xf borderId="3" fillId="0" fontId="11" numFmtId="0" xfId="0" applyAlignment="1" applyBorder="1" applyFont="1">
      <alignment shrinkToFit="0" vertical="center" wrapText="1"/>
    </xf>
    <xf borderId="3" fillId="0" fontId="4" numFmtId="166" xfId="0" applyAlignment="1" applyBorder="1" applyFont="1" applyNumberFormat="1">
      <alignment horizontal="center" shrinkToFit="0" vertical="bottom" wrapText="0"/>
    </xf>
    <xf borderId="3" fillId="0" fontId="6" numFmtId="2" xfId="0" applyAlignment="1" applyBorder="1" applyFont="1" applyNumberFormat="1">
      <alignment shrinkToFit="0" vertical="center" wrapText="0"/>
    </xf>
    <xf borderId="3" fillId="7" fontId="7" numFmtId="166" xfId="0" applyAlignment="1" applyBorder="1" applyFill="1" applyFont="1" applyNumberFormat="1">
      <alignment horizontal="center" shrinkToFit="0" vertical="bottom" wrapText="0"/>
    </xf>
    <xf borderId="3" fillId="0" fontId="6" numFmtId="167" xfId="0" applyAlignment="1" applyBorder="1" applyFont="1" applyNumberFormat="1">
      <alignment shrinkToFit="0" vertical="center" wrapText="0"/>
    </xf>
    <xf borderId="3" fillId="0" fontId="7" numFmtId="0" xfId="0" applyAlignment="1" applyBorder="1" applyFont="1">
      <alignment shrinkToFit="0" vertical="bottom" wrapText="0"/>
    </xf>
    <xf borderId="3" fillId="0" fontId="12" numFmtId="0" xfId="0" applyAlignment="1" applyBorder="1" applyFont="1">
      <alignment shrinkToFit="0" vertical="center" wrapText="0"/>
    </xf>
    <xf borderId="3" fillId="7" fontId="12" numFmtId="0" xfId="0" applyAlignment="1" applyBorder="1" applyFill="1" applyFont="1">
      <alignment shrinkToFit="0" vertical="center" wrapText="0"/>
    </xf>
    <xf borderId="3" fillId="7" fontId="7" numFmtId="3" xfId="0" applyAlignment="1" applyBorder="1" applyFill="1" applyFont="1" applyNumberFormat="1">
      <alignment shrinkToFit="0" vertical="center" wrapText="0"/>
    </xf>
    <xf borderId="3" fillId="8" fontId="4" numFmtId="9" xfId="0" applyAlignment="1" applyBorder="1" applyFill="1" applyFont="1" applyNumberFormat="1">
      <alignment shrinkToFit="0" vertical="center" wrapText="0"/>
    </xf>
    <xf borderId="3" fillId="7" fontId="4" numFmtId="9" xfId="0" applyAlignment="1" applyBorder="1" applyFill="1" applyFont="1" applyNumberFormat="1">
      <alignment shrinkToFit="0" vertical="center" wrapText="0"/>
    </xf>
    <xf borderId="3" fillId="7" fontId="7" numFmtId="166" xfId="0" applyAlignment="1" applyBorder="1" applyFill="1" applyFont="1" applyNumberFormat="1">
      <alignment shrinkToFit="0" vertical="center" wrapText="0"/>
    </xf>
    <xf borderId="3" fillId="0" fontId="6" numFmtId="9" xfId="0" applyAlignment="1" applyBorder="1" applyFont="1" applyNumberFormat="1">
      <alignment shrinkToFit="0" vertical="bottom" wrapText="0"/>
    </xf>
    <xf borderId="3" fillId="0" fontId="4" numFmtId="3" xfId="0" applyAlignment="1" applyBorder="1" applyFont="1" applyNumberFormat="1">
      <alignment shrinkToFit="0" vertical="bottom" wrapText="0"/>
    </xf>
    <xf borderId="3" fillId="0" fontId="4" numFmtId="166" xfId="0" applyAlignment="1" applyBorder="1" applyFont="1" applyNumberFormat="1">
      <alignment shrinkToFit="0" vertical="bottom" wrapText="0"/>
    </xf>
    <xf borderId="3" fillId="7" fontId="10" numFmtId="9" xfId="0" applyAlignment="1" applyBorder="1" applyFill="1" applyFont="1" applyNumberFormat="1">
      <alignment shrinkToFit="0" vertical="bottom" wrapText="0"/>
    </xf>
    <xf borderId="3" fillId="7" fontId="7" numFmtId="3" xfId="0" applyAlignment="1" applyBorder="1" applyFill="1" applyFont="1" applyNumberFormat="1">
      <alignment shrinkToFit="0" vertical="bottom" wrapText="0"/>
    </xf>
    <xf borderId="3" fillId="7" fontId="7" numFmtId="166" xfId="0" applyAlignment="1" applyBorder="1" applyFill="1" applyFont="1" applyNumberFormat="1">
      <alignment shrinkToFit="0" vertical="bottom" wrapText="0"/>
    </xf>
    <xf borderId="3" fillId="0" fontId="6" numFmtId="168" xfId="0" applyAlignment="1" applyBorder="1" applyFont="1" applyNumberFormat="1">
      <alignment shrinkToFit="0" vertical="bottom" wrapText="0"/>
    </xf>
    <xf borderId="3" fillId="0" fontId="13" numFmtId="166" xfId="0" applyAlignment="1" applyBorder="1" applyFont="1" applyNumberFormat="1">
      <alignment shrinkToFit="0" vertical="bottom" wrapText="0"/>
    </xf>
    <xf borderId="3" fillId="0" fontId="13" numFmtId="0" xfId="0" applyAlignment="1" applyBorder="1" applyFont="1">
      <alignment shrinkToFit="0" vertical="bottom" wrapText="0"/>
    </xf>
    <xf borderId="3" fillId="7" fontId="6" numFmtId="168" xfId="0" applyAlignment="1" applyBorder="1" applyFill="1" applyFont="1" applyNumberFormat="1">
      <alignment shrinkToFit="0" vertical="bottom" wrapText="0"/>
    </xf>
    <xf borderId="3" fillId="7" fontId="13" numFmtId="166" xfId="0" applyAlignment="1" applyBorder="1" applyFill="1" applyFont="1" applyNumberFormat="1">
      <alignment shrinkToFit="0" vertical="bottom" wrapText="0"/>
    </xf>
    <xf borderId="3" fillId="5" fontId="7" numFmtId="166" xfId="0" applyAlignment="1" applyBorder="1" applyFill="1" applyFont="1" applyNumberFormat="1">
      <alignment horizontal="center" shrinkToFit="0" vertical="bottom" wrapText="0"/>
    </xf>
    <xf borderId="3" fillId="5" fontId="7" numFmtId="3" xfId="0" applyAlignment="1" applyBorder="1" applyFill="1" applyFont="1" applyNumberFormat="1">
      <alignment horizontal="center" shrinkToFit="0" vertical="bottom" wrapText="0"/>
    </xf>
    <xf borderId="0" fillId="0" fontId="1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hautomate.com/whatsapp-business-api-pricing-india" TargetMode="External"/><Relationship Id="rId2" Type="http://schemas.openxmlformats.org/officeDocument/2006/relationships/hyperlink" Target="https://www.telecmi.com/blog/call-masking-pricing-plan-for-business" TargetMode="External"/><Relationship Id="rId3" Type="http://schemas.openxmlformats.org/officeDocument/2006/relationships/hyperlink" Target="https://developer.exotel.com/docs/faqs/pricing-plans" TargetMode="External"/><Relationship Id="rId4" Type="http://schemas.openxmlformats.org/officeDocument/2006/relationships/hyperlink" Target="https://developer.exotel.com/docs/call-support/advanced-features/truecaller-verified-caller-id" TargetMode="External"/><Relationship Id="rId5" Type="http://schemas.openxmlformats.org/officeDocument/2006/relationships/hyperlink" Target="https://www.hillteck.com/blog/whatsapp-api-vs-ivr-rto-reduction.html" TargetMode="External"/><Relationship Id="rId6" Type="http://schemas.openxmlformats.org/officeDocument/2006/relationships/hyperlink" Target="https://blog.blowhorn.com/article/the-menace-of-fake-delivery-attempts-and-how-to-tackle-them/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4.0"/>
    <col customWidth="1" min="2" max="2" width="30.0"/>
    <col customWidth="1" min="3" max="3" width="24.0"/>
    <col customWidth="1" min="4" max="5" width="22.0"/>
    <col customWidth="1" min="6" max="6" width="36.0"/>
    <col customWidth="1" min="7" max="26" width="8.71"/>
  </cols>
  <sheetData>
    <row r="1">
      <c r="A1" s="1" t="s">
        <v>0</v>
      </c>
    </row>
    <row r="2">
      <c r="A2" s="15" t="s">
        <v>6</v>
      </c>
      <c r="B2" s="15" t="s">
        <v>35</v>
      </c>
      <c r="C2" s="15" t="s">
        <v>37</v>
      </c>
      <c r="D2" s="15" t="s">
        <v>38</v>
      </c>
      <c r="E2" s="15" t="s">
        <v>40</v>
      </c>
      <c r="F2" s="15" t="s">
        <v>41</v>
      </c>
    </row>
    <row r="3" ht="56.25" customHeight="1">
      <c r="A3" s="18" t="s">
        <v>45</v>
      </c>
      <c r="B3" s="20" t="s">
        <v>50</v>
      </c>
      <c r="C3" s="20" t="s">
        <v>52</v>
      </c>
      <c r="D3" s="20" t="s">
        <v>53</v>
      </c>
      <c r="E3" s="20" t="s">
        <v>55</v>
      </c>
      <c r="F3" s="20" t="s">
        <v>56</v>
      </c>
    </row>
    <row r="4" ht="45.0" customHeight="1">
      <c r="A4" s="18" t="s">
        <v>58</v>
      </c>
      <c r="B4" s="20" t="s">
        <v>59</v>
      </c>
      <c r="C4" s="20" t="s">
        <v>60</v>
      </c>
      <c r="D4" s="20" t="s">
        <v>62</v>
      </c>
      <c r="E4" s="20" t="s">
        <v>63</v>
      </c>
      <c r="F4" s="20" t="s">
        <v>64</v>
      </c>
    </row>
    <row r="5" ht="45.0" customHeight="1">
      <c r="A5" s="18" t="s">
        <v>66</v>
      </c>
      <c r="B5" s="20" t="s">
        <v>67</v>
      </c>
      <c r="C5" s="20" t="s">
        <v>69</v>
      </c>
      <c r="D5" s="20" t="s">
        <v>70</v>
      </c>
      <c r="E5" s="20" t="s">
        <v>71</v>
      </c>
      <c r="F5" s="20" t="s">
        <v>72</v>
      </c>
    </row>
    <row r="6" ht="45.0" customHeight="1">
      <c r="A6" s="18" t="s">
        <v>74</v>
      </c>
      <c r="B6" s="20" t="s">
        <v>75</v>
      </c>
      <c r="C6" s="20" t="s">
        <v>76</v>
      </c>
      <c r="D6" s="20" t="s">
        <v>77</v>
      </c>
      <c r="E6" s="20" t="s">
        <v>78</v>
      </c>
      <c r="F6" s="20" t="s">
        <v>79</v>
      </c>
    </row>
    <row r="7">
      <c r="A7" s="23" t="s">
        <v>81</v>
      </c>
    </row>
    <row r="8">
      <c r="A8" s="24" t="s">
        <v>86</v>
      </c>
      <c r="B8" s="24" t="s">
        <v>90</v>
      </c>
      <c r="C8" s="24" t="s">
        <v>91</v>
      </c>
      <c r="D8" s="24" t="s">
        <v>92</v>
      </c>
      <c r="E8" s="24" t="s">
        <v>93</v>
      </c>
      <c r="F8" s="24" t="s">
        <v>95</v>
      </c>
    </row>
    <row r="9" ht="30.0" customHeight="1">
      <c r="A9" s="26" t="s">
        <v>96</v>
      </c>
      <c r="B9" s="26" t="s">
        <v>97</v>
      </c>
      <c r="C9" s="26" t="s">
        <v>98</v>
      </c>
      <c r="D9" s="26" t="s">
        <v>97</v>
      </c>
      <c r="E9" s="27" t="s">
        <v>100</v>
      </c>
      <c r="F9" s="26" t="s">
        <v>102</v>
      </c>
    </row>
    <row r="10" ht="30.0" customHeight="1">
      <c r="A10" s="26" t="s">
        <v>103</v>
      </c>
      <c r="B10" s="26" t="s">
        <v>105</v>
      </c>
      <c r="C10" s="26" t="s">
        <v>97</v>
      </c>
      <c r="D10" s="26" t="s">
        <v>97</v>
      </c>
      <c r="E10" s="27" t="s">
        <v>106</v>
      </c>
      <c r="F10" s="26" t="s">
        <v>107</v>
      </c>
    </row>
    <row r="11" ht="30.0" customHeight="1">
      <c r="A11" s="26" t="s">
        <v>103</v>
      </c>
      <c r="B11" s="26" t="s">
        <v>108</v>
      </c>
      <c r="C11" s="26" t="s">
        <v>109</v>
      </c>
      <c r="D11" s="26" t="s">
        <v>97</v>
      </c>
      <c r="E11" s="27" t="s">
        <v>110</v>
      </c>
      <c r="F11" s="26" t="s">
        <v>111</v>
      </c>
    </row>
    <row r="12" ht="30.0" customHeight="1">
      <c r="A12" s="26" t="s">
        <v>112</v>
      </c>
      <c r="B12" s="26" t="s">
        <v>108</v>
      </c>
      <c r="C12" s="26" t="s">
        <v>113</v>
      </c>
      <c r="D12" s="26" t="s">
        <v>114</v>
      </c>
      <c r="E12" s="27" t="s">
        <v>115</v>
      </c>
      <c r="F12" s="26" t="s">
        <v>116</v>
      </c>
    </row>
    <row r="13" ht="30.0" customHeight="1">
      <c r="A13" s="26" t="s">
        <v>112</v>
      </c>
      <c r="B13" s="26" t="s">
        <v>108</v>
      </c>
      <c r="C13" s="26" t="s">
        <v>113</v>
      </c>
      <c r="D13" s="26" t="s">
        <v>117</v>
      </c>
      <c r="E13" s="27" t="s">
        <v>118</v>
      </c>
      <c r="F13" s="26" t="s">
        <v>119</v>
      </c>
    </row>
    <row r="14" ht="30.0" customHeight="1">
      <c r="A14" s="26" t="s">
        <v>112</v>
      </c>
      <c r="B14" s="26" t="s">
        <v>105</v>
      </c>
      <c r="C14" s="26" t="s">
        <v>120</v>
      </c>
      <c r="D14" s="26" t="s">
        <v>97</v>
      </c>
      <c r="E14" s="27" t="s">
        <v>121</v>
      </c>
      <c r="F14" s="26" t="s">
        <v>122</v>
      </c>
    </row>
    <row r="15" ht="30.0" customHeight="1">
      <c r="A15" s="26" t="s">
        <v>123</v>
      </c>
      <c r="B15" s="26" t="s">
        <v>97</v>
      </c>
      <c r="C15" s="26" t="s">
        <v>124</v>
      </c>
      <c r="D15" s="26" t="s">
        <v>97</v>
      </c>
      <c r="E15" s="27" t="s">
        <v>125</v>
      </c>
      <c r="F15" s="26" t="s">
        <v>126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</sheetData>
  <mergeCells count="2">
    <mergeCell ref="A1:F1"/>
    <mergeCell ref="A7:F7"/>
  </mergeCells>
  <printOptions/>
  <pageMargins bottom="1.0" footer="0.0" header="0.0" left="0.75" right="0.7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58.0"/>
    <col customWidth="1" min="2" max="2" width="16.0"/>
    <col customWidth="1" min="3" max="3" width="13.0"/>
    <col customWidth="1" min="4" max="4" width="90.0"/>
    <col customWidth="1" min="5" max="26" width="8.71"/>
  </cols>
  <sheetData>
    <row r="1">
      <c r="A1" s="1" t="s">
        <v>2</v>
      </c>
    </row>
    <row r="2">
      <c r="A2" s="4" t="s">
        <v>4</v>
      </c>
      <c r="B2" s="4" t="s">
        <v>7</v>
      </c>
      <c r="C2" s="4" t="s">
        <v>8</v>
      </c>
      <c r="D2" s="4" t="s">
        <v>15</v>
      </c>
    </row>
    <row r="3">
      <c r="A3" s="10" t="s">
        <v>18</v>
      </c>
      <c r="B3" s="12"/>
      <c r="C3" s="12"/>
      <c r="D3" s="14"/>
    </row>
    <row r="4">
      <c r="A4" s="16" t="s">
        <v>30</v>
      </c>
      <c r="B4" s="17">
        <v>2700.0</v>
      </c>
      <c r="C4" s="16" t="s">
        <v>47</v>
      </c>
      <c r="D4" s="5" t="s">
        <v>49</v>
      </c>
    </row>
    <row r="5">
      <c r="A5" s="16" t="s">
        <v>51</v>
      </c>
      <c r="B5" s="22">
        <v>0.65</v>
      </c>
      <c r="C5" s="16" t="s">
        <v>19</v>
      </c>
      <c r="D5" s="5" t="s">
        <v>49</v>
      </c>
    </row>
    <row r="6">
      <c r="A6" s="16" t="s">
        <v>80</v>
      </c>
      <c r="B6" s="17">
        <v>400.0</v>
      </c>
      <c r="C6" s="16" t="s">
        <v>16</v>
      </c>
      <c r="D6" s="5" t="s">
        <v>49</v>
      </c>
    </row>
    <row r="7">
      <c r="A7" s="16" t="s">
        <v>84</v>
      </c>
      <c r="B7" s="17">
        <v>700.0</v>
      </c>
      <c r="C7" s="16" t="s">
        <v>16</v>
      </c>
      <c r="D7" s="5" t="s">
        <v>49</v>
      </c>
    </row>
    <row r="8">
      <c r="A8" s="16" t="s">
        <v>88</v>
      </c>
      <c r="B8" s="17">
        <f>ROUND(B4*B5,0)*AVERAGE(B6,B7)</f>
        <v>965250</v>
      </c>
      <c r="C8" s="16" t="s">
        <v>16</v>
      </c>
      <c r="D8" s="5" t="s">
        <v>127</v>
      </c>
    </row>
    <row r="9">
      <c r="A9" s="16" t="s">
        <v>128</v>
      </c>
      <c r="B9" s="28">
        <v>0.0114</v>
      </c>
      <c r="C9" s="16" t="s">
        <v>129</v>
      </c>
      <c r="D9" s="5" t="s">
        <v>49</v>
      </c>
    </row>
    <row r="10">
      <c r="A10" s="16" t="s">
        <v>130</v>
      </c>
      <c r="B10" s="17">
        <f>ROUND(B8*B9,0)</f>
        <v>11004</v>
      </c>
      <c r="C10" s="16" t="s">
        <v>132</v>
      </c>
      <c r="D10" s="5" t="s">
        <v>133</v>
      </c>
    </row>
    <row r="11">
      <c r="A11" s="16" t="s">
        <v>134</v>
      </c>
      <c r="B11" s="22">
        <f>1-B5</f>
        <v>0.35</v>
      </c>
      <c r="C11" s="16" t="s">
        <v>19</v>
      </c>
      <c r="D11" s="5" t="s">
        <v>139</v>
      </c>
    </row>
    <row r="12">
      <c r="A12" s="16" t="s">
        <v>140</v>
      </c>
      <c r="B12" s="17">
        <v>1500.0</v>
      </c>
      <c r="C12" s="16" t="s">
        <v>16</v>
      </c>
      <c r="D12" s="5" t="s">
        <v>49</v>
      </c>
    </row>
    <row r="13">
      <c r="A13" s="16" t="s">
        <v>141</v>
      </c>
      <c r="B13" s="17">
        <v>2000.0</v>
      </c>
      <c r="C13" s="16" t="s">
        <v>16</v>
      </c>
      <c r="D13" s="5" t="s">
        <v>49</v>
      </c>
    </row>
    <row r="14">
      <c r="A14" s="16" t="s">
        <v>142</v>
      </c>
      <c r="B14" s="17">
        <f>ROUND(B4*B11,0)*AVERAGE(B12,B13)</f>
        <v>1653750</v>
      </c>
      <c r="C14" s="16" t="s">
        <v>16</v>
      </c>
      <c r="D14" s="5" t="s">
        <v>143</v>
      </c>
    </row>
    <row r="15">
      <c r="A15" s="16" t="s">
        <v>144</v>
      </c>
      <c r="B15" s="28">
        <v>0.025</v>
      </c>
      <c r="C15" s="16" t="s">
        <v>129</v>
      </c>
      <c r="D15" s="5" t="s">
        <v>49</v>
      </c>
    </row>
    <row r="16">
      <c r="A16" s="16" t="s">
        <v>146</v>
      </c>
      <c r="B16" s="17">
        <f>ROUND(B14*B15,0)</f>
        <v>41344</v>
      </c>
      <c r="C16" s="16" t="s">
        <v>132</v>
      </c>
      <c r="D16" s="5" t="s">
        <v>149</v>
      </c>
    </row>
    <row r="17">
      <c r="A17" s="16" t="s">
        <v>150</v>
      </c>
      <c r="B17" s="17">
        <f>B8+B14</f>
        <v>2619000</v>
      </c>
      <c r="C17" s="16" t="s">
        <v>16</v>
      </c>
      <c r="D17" s="5" t="s">
        <v>153</v>
      </c>
    </row>
    <row r="18">
      <c r="A18" s="16" t="s">
        <v>155</v>
      </c>
      <c r="B18" s="17">
        <f>B10+B16</f>
        <v>52348</v>
      </c>
      <c r="C18" s="16" t="s">
        <v>132</v>
      </c>
      <c r="D18" s="5" t="s">
        <v>153</v>
      </c>
    </row>
    <row r="19">
      <c r="A19" s="16" t="s">
        <v>161</v>
      </c>
      <c r="B19" s="31">
        <f>(2006-1821-90)/2006</f>
        <v>0.04735792622</v>
      </c>
      <c r="C19" s="16" t="s">
        <v>129</v>
      </c>
      <c r="D19" s="5" t="s">
        <v>169</v>
      </c>
    </row>
    <row r="20">
      <c r="A20" s="16" t="s">
        <v>170</v>
      </c>
      <c r="B20" s="17">
        <f>ROUND(B17*B19,0)</f>
        <v>124030</v>
      </c>
      <c r="C20" s="16" t="s">
        <v>171</v>
      </c>
      <c r="D20" s="5" t="s">
        <v>172</v>
      </c>
    </row>
    <row r="21">
      <c r="A21" s="16" t="s">
        <v>173</v>
      </c>
      <c r="B21" s="17">
        <f>MAX(0,B20-B18)</f>
        <v>71682</v>
      </c>
      <c r="C21" s="16" t="s">
        <v>132</v>
      </c>
      <c r="D21" s="5" t="s">
        <v>174</v>
      </c>
    </row>
    <row r="23">
      <c r="A23" s="10" t="s">
        <v>175</v>
      </c>
      <c r="B23" s="12"/>
      <c r="C23" s="12"/>
      <c r="D23" s="14"/>
    </row>
    <row r="24">
      <c r="A24" s="16" t="s">
        <v>176</v>
      </c>
      <c r="B24" s="34">
        <v>120.0</v>
      </c>
      <c r="C24" s="16" t="s">
        <v>177</v>
      </c>
      <c r="D24" s="5" t="s">
        <v>178</v>
      </c>
    </row>
    <row r="25">
      <c r="A25" s="35" t="s">
        <v>179</v>
      </c>
      <c r="B25" s="37">
        <f>B24</f>
        <v>120</v>
      </c>
      <c r="C25" s="39" t="s">
        <v>177</v>
      </c>
      <c r="D25" s="40" t="s">
        <v>180</v>
      </c>
    </row>
    <row r="27">
      <c r="A27" s="10" t="s">
        <v>181</v>
      </c>
      <c r="B27" s="12"/>
      <c r="C27" s="12"/>
      <c r="D27" s="14"/>
    </row>
    <row r="28">
      <c r="A28" s="41" t="s">
        <v>182</v>
      </c>
      <c r="B28" s="42">
        <v>0.115</v>
      </c>
      <c r="C28" s="16" t="s">
        <v>187</v>
      </c>
      <c r="D28" s="43" t="s">
        <v>193</v>
      </c>
    </row>
    <row r="29">
      <c r="A29" s="16" t="s">
        <v>222</v>
      </c>
      <c r="B29" s="45">
        <v>1.5</v>
      </c>
      <c r="C29" s="16" t="s">
        <v>224</v>
      </c>
      <c r="D29" s="43" t="s">
        <v>225</v>
      </c>
    </row>
    <row r="30">
      <c r="A30" s="16" t="s">
        <v>227</v>
      </c>
      <c r="B30" s="47">
        <v>2.0</v>
      </c>
      <c r="C30" s="16" t="s">
        <v>228</v>
      </c>
      <c r="D30" s="5" t="s">
        <v>229</v>
      </c>
    </row>
    <row r="31">
      <c r="A31" s="16" t="s">
        <v>230</v>
      </c>
      <c r="B31" s="47">
        <v>0.5</v>
      </c>
      <c r="C31" s="16" t="s">
        <v>228</v>
      </c>
      <c r="D31" s="43" t="s">
        <v>231</v>
      </c>
    </row>
    <row r="32">
      <c r="A32" s="16" t="s">
        <v>232</v>
      </c>
      <c r="B32" s="45">
        <v>0.3</v>
      </c>
      <c r="C32" s="16" t="s">
        <v>233</v>
      </c>
      <c r="D32" s="43" t="s">
        <v>234</v>
      </c>
    </row>
    <row r="33">
      <c r="A33" s="16" t="s">
        <v>235</v>
      </c>
      <c r="B33" s="34">
        <v>0.0</v>
      </c>
      <c r="C33" s="16" t="s">
        <v>236</v>
      </c>
      <c r="D33" s="5" t="s">
        <v>237</v>
      </c>
    </row>
    <row r="35">
      <c r="A35" s="10" t="s">
        <v>238</v>
      </c>
      <c r="B35" s="12"/>
      <c r="C35" s="12"/>
      <c r="D35" s="14"/>
    </row>
    <row r="36">
      <c r="A36" s="48" t="s">
        <v>239</v>
      </c>
      <c r="B36" s="48" t="s">
        <v>240</v>
      </c>
      <c r="C36" s="48" t="s">
        <v>241</v>
      </c>
      <c r="D36" s="48" t="s">
        <v>15</v>
      </c>
    </row>
    <row r="37">
      <c r="A37" s="16" t="s">
        <v>242</v>
      </c>
      <c r="B37" s="49"/>
      <c r="C37" s="17">
        <f>B18</f>
        <v>52348</v>
      </c>
      <c r="D37" s="5" t="s">
        <v>243</v>
      </c>
    </row>
    <row r="38">
      <c r="A38" s="16" t="s">
        <v>244</v>
      </c>
      <c r="B38" s="22">
        <v>0.55</v>
      </c>
      <c r="C38" s="17">
        <f>C37*B38</f>
        <v>28791.4</v>
      </c>
      <c r="D38" s="43" t="s">
        <v>245</v>
      </c>
    </row>
    <row r="39">
      <c r="A39" s="16" t="s">
        <v>246</v>
      </c>
      <c r="B39" s="49"/>
      <c r="C39" s="17">
        <f>C37-C38</f>
        <v>23556.6</v>
      </c>
      <c r="D39" s="5" t="s">
        <v>247</v>
      </c>
    </row>
    <row r="40">
      <c r="A40" s="16" t="s">
        <v>248</v>
      </c>
      <c r="B40" s="22">
        <v>0.07</v>
      </c>
      <c r="C40" s="17">
        <f>C39*B40</f>
        <v>1648.962</v>
      </c>
      <c r="D40" s="5" t="s">
        <v>249</v>
      </c>
    </row>
    <row r="41">
      <c r="A41" s="16" t="s">
        <v>250</v>
      </c>
      <c r="B41" s="22">
        <v>0.0</v>
      </c>
      <c r="C41" s="17">
        <f>(C39-C40)*B41</f>
        <v>0</v>
      </c>
      <c r="D41" s="5" t="s">
        <v>251</v>
      </c>
    </row>
    <row r="42">
      <c r="A42" s="35" t="s">
        <v>252</v>
      </c>
      <c r="B42" s="50"/>
      <c r="C42" s="51">
        <f>C38+C40+C41</f>
        <v>30440.362</v>
      </c>
      <c r="D42" s="40" t="s">
        <v>253</v>
      </c>
    </row>
    <row r="43">
      <c r="A43" s="16" t="s">
        <v>254</v>
      </c>
      <c r="B43" s="52">
        <v>0.85</v>
      </c>
      <c r="C43" s="17">
        <f t="shared" ref="C43:C44" si="1">C42*B43</f>
        <v>25874.3077</v>
      </c>
      <c r="D43" s="5" t="s">
        <v>255</v>
      </c>
    </row>
    <row r="44">
      <c r="A44" s="35" t="s">
        <v>256</v>
      </c>
      <c r="B44" s="53">
        <f>1-34/141</f>
        <v>0.7588652482</v>
      </c>
      <c r="C44" s="51">
        <f t="shared" si="1"/>
        <v>19635.11294</v>
      </c>
      <c r="D44" s="40" t="s">
        <v>257</v>
      </c>
    </row>
    <row r="46">
      <c r="A46" s="10" t="s">
        <v>258</v>
      </c>
      <c r="B46" s="12"/>
      <c r="C46" s="12"/>
      <c r="D46" s="14"/>
    </row>
    <row r="47">
      <c r="A47" s="16" t="s">
        <v>259</v>
      </c>
      <c r="B47" s="17">
        <f>C44*B25</f>
        <v>2356213.552</v>
      </c>
      <c r="C47" s="16" t="s">
        <v>236</v>
      </c>
      <c r="D47" s="5" t="s">
        <v>260</v>
      </c>
    </row>
    <row r="48">
      <c r="A48" s="16" t="s">
        <v>261</v>
      </c>
      <c r="B48" s="17">
        <f>B20*(B28+B32)+B20*B38*B29*2*B30+B20*(1-B38)*B29*B31+B33</f>
        <v>502631.575</v>
      </c>
      <c r="C48" s="16" t="s">
        <v>236</v>
      </c>
      <c r="D48" s="5" t="s">
        <v>262</v>
      </c>
    </row>
    <row r="49">
      <c r="A49" s="35" t="s">
        <v>263</v>
      </c>
      <c r="B49" s="51">
        <f>B47-B48</f>
        <v>1853581.977</v>
      </c>
      <c r="C49" s="39" t="s">
        <v>236</v>
      </c>
      <c r="D49" s="40" t="s">
        <v>264</v>
      </c>
    </row>
    <row r="50">
      <c r="A50" s="35" t="s">
        <v>265</v>
      </c>
      <c r="B50" s="54">
        <f>B49*365/10^7</f>
        <v>67.65574217</v>
      </c>
      <c r="C50" s="39" t="s">
        <v>266</v>
      </c>
      <c r="D50" s="40" t="s">
        <v>267</v>
      </c>
    </row>
    <row r="51">
      <c r="A51" s="16" t="s">
        <v>268</v>
      </c>
      <c r="B51" s="17">
        <f>B21*B38*0.855*B44</f>
        <v>25580.17924</v>
      </c>
      <c r="C51" s="16" t="s">
        <v>16</v>
      </c>
      <c r="D51" s="5" t="s">
        <v>269</v>
      </c>
    </row>
    <row r="53">
      <c r="A53" s="10" t="s">
        <v>270</v>
      </c>
      <c r="B53" s="12"/>
      <c r="C53" s="12"/>
      <c r="D53" s="14"/>
    </row>
    <row r="54">
      <c r="A54" s="48" t="s">
        <v>271</v>
      </c>
      <c r="B54" s="48" t="s">
        <v>162</v>
      </c>
      <c r="C54" s="48" t="s">
        <v>163</v>
      </c>
      <c r="D54" s="48" t="s">
        <v>272</v>
      </c>
    </row>
    <row r="55">
      <c r="A55" s="55">
        <v>0.0</v>
      </c>
      <c r="B55" s="56">
        <f>(B18*A55+B18*(1-A55)*B40+B18*(1-A55)*(1-B40)*B41)</f>
        <v>3664.36</v>
      </c>
      <c r="C55" s="56">
        <f>(B18*A55+B18*(1-A55)*B40+B18*(1-A55)*(1-B40)*B41)*B43*B44</f>
        <v>2363.642142</v>
      </c>
      <c r="D55" s="57">
        <f>((B18*A55+B18*(1-A55)*B40+B18*(1-A55)*(1-B40)*B41)*B43*B44*B25-(B20*(B28+B32)+B20*A55*B29*2*B30+B20*(1-A55)*B29*B31+B33))*365/10^7</f>
        <v>5.078686906</v>
      </c>
    </row>
    <row r="56">
      <c r="A56" s="55">
        <v>0.3</v>
      </c>
      <c r="B56" s="56">
        <f>(B18*A56+B18*(1-A56)*B40+B18*(1-A56)*(1-B40)*B41)</f>
        <v>18269.452</v>
      </c>
      <c r="C56" s="56">
        <f>(B18*A56+B18*(1-A56)*B40+B18*(1-A56)*(1-B40)*B41)*B43*B44</f>
        <v>11784.44439</v>
      </c>
      <c r="D56" s="57">
        <f>((B18*A56+B18*(1-A56)*B40+B18*(1-A56)*(1-B40)*B41)*B43*B44*B25-(B20*(B28+B32)+B20*A56*B29*2*B30+B20*(1-A56)*B29*B31+B33))*365/10^7</f>
        <v>39.21162614</v>
      </c>
    </row>
    <row r="57">
      <c r="A57" s="58">
        <v>0.55</v>
      </c>
      <c r="B57" s="59">
        <f>(B18*A57+B18*(1-A57)*B40+B18*(1-A57)*(1-B40)*B41)</f>
        <v>30440.362</v>
      </c>
      <c r="C57" s="59">
        <f>(B18*A57+B18*(1-A57)*B40+B18*(1-A57)*(1-B40)*B41)*B43*B44</f>
        <v>19635.11294</v>
      </c>
      <c r="D57" s="60">
        <f>((B18*A57+B18*(1-A57)*B40+B18*(1-A57)*(1-B40)*B41)*B43*B44*B25-(B20*(B28+B32)+B20*A57*B29*2*B30+B20*(1-A57)*B29*B31+B33))*365/10^7</f>
        <v>67.65574217</v>
      </c>
    </row>
    <row r="58">
      <c r="A58" s="55">
        <v>0.75</v>
      </c>
      <c r="B58" s="56">
        <f>(B18*A58+B18*(1-A58)*B40+B18*(1-A58)*(1-B40)*B41)</f>
        <v>40177.09</v>
      </c>
      <c r="C58" s="56">
        <f>(B18*A58+B18*(1-A58)*B40+B18*(1-A58)*(1-B40)*B41)*B43*B44</f>
        <v>25915.64777</v>
      </c>
      <c r="D58" s="57">
        <f>((B18*A58+B18*(1-A58)*B40+B18*(1-A58)*(1-B40)*B41)*B43*B44*B25-(B20*(B28+B32)+B20*A58*B29*2*B30+B20*(1-A58)*B29*B31+B33))*365/10^7</f>
        <v>90.41103499</v>
      </c>
    </row>
    <row r="60">
      <c r="A60" s="10" t="s">
        <v>273</v>
      </c>
      <c r="B60" s="12"/>
      <c r="C60" s="12"/>
      <c r="D60" s="14"/>
    </row>
    <row r="61">
      <c r="A61" s="48" t="s">
        <v>274</v>
      </c>
      <c r="B61" s="48" t="s">
        <v>275</v>
      </c>
      <c r="C61" s="48" t="s">
        <v>272</v>
      </c>
      <c r="D61" s="48"/>
    </row>
    <row r="62">
      <c r="A62" s="61">
        <v>0.1</v>
      </c>
      <c r="B62" s="62">
        <f>B20*A62*365/10^5</f>
        <v>45.27095</v>
      </c>
      <c r="C62" s="62">
        <f>((B18*B38+B18*(1-B38)*B40+B18*(1-B38)*(1-B40)*B41)*B43*B44*B25-(B20*(B28+A62)+B20*B38*B29*2*B30+B20*(1-B38)*B29*B31+B33))*365/10^7</f>
        <v>68.56116117</v>
      </c>
      <c r="D62" s="63"/>
    </row>
    <row r="63">
      <c r="A63" s="64">
        <v>0.3</v>
      </c>
      <c r="B63" s="65">
        <f>B20*A63*365/10^5</f>
        <v>135.81285</v>
      </c>
      <c r="C63" s="65">
        <f>((B18*B38+B18*(1-B38)*B40+B18*(1-B38)*(1-B40)*B41)*B43*B44*B25-(B20*(B28+A63)+B20*B38*B29*2*B30+B20*(1-B38)*B29*B31+B33))*365/10^7</f>
        <v>67.65574217</v>
      </c>
      <c r="D63" s="63"/>
    </row>
    <row r="64">
      <c r="A64" s="61">
        <v>0.5</v>
      </c>
      <c r="B64" s="62">
        <f>B20*A64*365/10^5</f>
        <v>226.35475</v>
      </c>
      <c r="C64" s="62">
        <f>((B18*B38+B18*(1-B38)*B40+B18*(1-B38)*(1-B40)*B41)*B43*B44*B25-(B20*(B28+A64)+B20*B38*B29*2*B30+B20*(1-B38)*B29*B31+B33))*365/10^7</f>
        <v>66.75032317</v>
      </c>
      <c r="D64" s="63"/>
    </row>
    <row r="65">
      <c r="A65" s="68"/>
    </row>
    <row r="67">
      <c r="A67" s="10" t="s">
        <v>278</v>
      </c>
      <c r="B67" s="12"/>
      <c r="C67" s="12"/>
      <c r="D67" s="14"/>
    </row>
    <row r="68">
      <c r="A68" s="16" t="s">
        <v>279</v>
      </c>
      <c r="B68" s="22">
        <f>B18/B20</f>
        <v>0.4220591792</v>
      </c>
      <c r="C68" s="16" t="s">
        <v>19</v>
      </c>
      <c r="D68" s="43" t="s">
        <v>280</v>
      </c>
    </row>
    <row r="69">
      <c r="A69" s="16" t="s">
        <v>281</v>
      </c>
      <c r="B69" s="22">
        <f>B17/4200000</f>
        <v>0.6235714286</v>
      </c>
      <c r="C69" s="16" t="s">
        <v>19</v>
      </c>
      <c r="D69" s="5" t="s">
        <v>282</v>
      </c>
    </row>
  </sheetData>
  <mergeCells count="9">
    <mergeCell ref="A65:D65"/>
    <mergeCell ref="A67:D67"/>
    <mergeCell ref="A3:D3"/>
    <mergeCell ref="A23:D23"/>
    <mergeCell ref="A27:D27"/>
    <mergeCell ref="A35:D35"/>
    <mergeCell ref="A46:D46"/>
    <mergeCell ref="A53:D53"/>
    <mergeCell ref="A60:D60"/>
  </mergeCells>
  <hyperlinks>
    <hyperlink r:id="rId1" ref="D28"/>
    <hyperlink r:id="rId2" ref="D29"/>
    <hyperlink r:id="rId3" ref="D31"/>
    <hyperlink r:id="rId4" ref="D32"/>
    <hyperlink r:id="rId5" ref="D38"/>
    <hyperlink r:id="rId6" ref="D68"/>
  </hyperlinks>
  <printOptions/>
  <pageMargins bottom="1.0" footer="0.0" header="0.0" left="0.75" right="0.75" top="1.0"/>
  <pageSetup fitToHeight="0" orientation="landscape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52.0"/>
    <col customWidth="1" min="2" max="3" width="14.0"/>
    <col customWidth="1" min="4" max="4" width="24.71"/>
    <col customWidth="1" min="5" max="5" width="11.0"/>
    <col customWidth="1" min="6" max="8" width="14.0"/>
    <col customWidth="1" min="9" max="10" width="13.0"/>
    <col customWidth="1" min="11" max="11" width="14.0"/>
    <col customWidth="1" min="12" max="14" width="11.0"/>
    <col customWidth="1" min="15" max="15" width="13.0"/>
    <col customWidth="1" min="16" max="26" width="8.71"/>
  </cols>
  <sheetData>
    <row r="1">
      <c r="A1" s="1" t="s">
        <v>1</v>
      </c>
    </row>
    <row r="2">
      <c r="A2" s="2" t="s">
        <v>3</v>
      </c>
      <c r="B2" s="2" t="s">
        <v>7</v>
      </c>
      <c r="C2" s="2" t="s">
        <v>8</v>
      </c>
    </row>
    <row r="3">
      <c r="A3" s="5" t="s">
        <v>9</v>
      </c>
      <c r="B3" s="7">
        <v>4200000.0</v>
      </c>
      <c r="C3" s="5" t="s">
        <v>16</v>
      </c>
    </row>
    <row r="4">
      <c r="A4" s="5" t="s">
        <v>17</v>
      </c>
      <c r="B4" s="9">
        <v>0.6452</v>
      </c>
      <c r="C4" s="5" t="s">
        <v>19</v>
      </c>
    </row>
    <row r="5">
      <c r="A5" s="5" t="s">
        <v>20</v>
      </c>
      <c r="B5" s="21">
        <v>0.01</v>
      </c>
      <c r="C5" s="5" t="s">
        <v>73</v>
      </c>
    </row>
    <row r="6">
      <c r="A6" s="5" t="s">
        <v>82</v>
      </c>
      <c r="B6" s="25">
        <v>0.85</v>
      </c>
      <c r="C6" s="5" t="s">
        <v>19</v>
      </c>
    </row>
    <row r="7">
      <c r="A7" s="5" t="s">
        <v>99</v>
      </c>
      <c r="B7" s="21">
        <v>0.0</v>
      </c>
      <c r="C7" s="5" t="s">
        <v>101</v>
      </c>
    </row>
    <row r="8">
      <c r="A8" s="5" t="s">
        <v>104</v>
      </c>
      <c r="B8" s="21">
        <f>'2. Financials'!$B$8/'2. Financials'!$B$17</f>
        <v>0.368556701</v>
      </c>
      <c r="C8" s="5" t="s">
        <v>19</v>
      </c>
    </row>
    <row r="9">
      <c r="A9" s="5" t="s">
        <v>131</v>
      </c>
      <c r="B9" s="9">
        <v>0.02</v>
      </c>
      <c r="C9" s="5" t="s">
        <v>129</v>
      </c>
    </row>
    <row r="10">
      <c r="A10" s="5" t="s">
        <v>135</v>
      </c>
      <c r="B10" s="9">
        <v>0.04</v>
      </c>
      <c r="C10" s="5" t="s">
        <v>129</v>
      </c>
    </row>
    <row r="11">
      <c r="A11" s="5" t="s">
        <v>136</v>
      </c>
      <c r="B11" s="25">
        <v>0.1</v>
      </c>
      <c r="C11" s="5" t="s">
        <v>137</v>
      </c>
    </row>
    <row r="12">
      <c r="A12" s="5" t="s">
        <v>138</v>
      </c>
      <c r="B12" s="21">
        <f>(2006-1821-90)/2006-1.14%</f>
        <v>0.03595792622</v>
      </c>
      <c r="C12" s="5" t="s">
        <v>129</v>
      </c>
    </row>
    <row r="13">
      <c r="A13" s="5" t="s">
        <v>145</v>
      </c>
      <c r="B13" s="29">
        <v>30.0</v>
      </c>
      <c r="C13" s="5" t="s">
        <v>147</v>
      </c>
    </row>
    <row r="14">
      <c r="A14" s="23" t="s">
        <v>148</v>
      </c>
    </row>
    <row r="15" ht="42.0" customHeight="1">
      <c r="A15" s="30" t="s">
        <v>151</v>
      </c>
      <c r="B15" s="30" t="s">
        <v>152</v>
      </c>
      <c r="C15" s="30" t="s">
        <v>154</v>
      </c>
      <c r="D15" s="30" t="s">
        <v>156</v>
      </c>
      <c r="E15" s="30" t="s">
        <v>157</v>
      </c>
      <c r="F15" s="30" t="s">
        <v>158</v>
      </c>
      <c r="G15" s="30" t="s">
        <v>159</v>
      </c>
      <c r="H15" s="30" t="s">
        <v>160</v>
      </c>
      <c r="I15" s="30" t="s">
        <v>162</v>
      </c>
      <c r="J15" s="30" t="s">
        <v>163</v>
      </c>
      <c r="K15" s="30" t="s">
        <v>164</v>
      </c>
      <c r="L15" s="30" t="s">
        <v>165</v>
      </c>
      <c r="M15" s="30" t="s">
        <v>166</v>
      </c>
      <c r="N15" s="30" t="s">
        <v>167</v>
      </c>
      <c r="O15" s="30" t="s">
        <v>168</v>
      </c>
    </row>
    <row r="16">
      <c r="A16" s="32">
        <v>1.0</v>
      </c>
      <c r="B16" s="33">
        <f t="shared" ref="B16:B27" si="1">MIN($B$6,$B$4+$B$5*(A16-1))</f>
        <v>0.6452</v>
      </c>
      <c r="C16" s="36">
        <f t="shared" ref="C16:C27" si="2">$B$3*(B16/$B$4)*(1+$B$7)^(A16-1)</f>
        <v>4200000</v>
      </c>
      <c r="D16" s="38">
        <f t="shared" ref="D16:D27" si="3">$B$9*(1-$B$11)^(A16-1)</f>
        <v>0.02</v>
      </c>
      <c r="E16" s="38">
        <f t="shared" ref="E16:E27" si="4">$B$10*(1-$B$11)^(A16-1)</f>
        <v>0.04</v>
      </c>
      <c r="F16" s="36">
        <f t="shared" ref="F16:F27" si="5">C16*($B$8*D16+(1-$B$8)*E16)</f>
        <v>137041.2371</v>
      </c>
      <c r="G16" s="36">
        <f t="shared" ref="G16:G27" si="6">C16*($B$8*$B$9+(1-$B$8)*$B$10)</f>
        <v>137041.2371</v>
      </c>
      <c r="H16" s="36">
        <f t="shared" ref="H16:H27" si="7">G16-F16</f>
        <v>0</v>
      </c>
      <c r="I16" s="36">
        <f>F16*('2. Financials'!$B$38+(1-'2. Financials'!$B$38)*'2. Financials'!$B$40+(1-'2. Financials'!$B$38)*(1-'2. Financials'!$B$40)*'2. Financials'!$B$41)</f>
        <v>79689.47938</v>
      </c>
      <c r="J16" s="36">
        <f>(H16+I16)*'2. Financials'!$B$43*'2. Financials'!$B$44</f>
        <v>51402.54007</v>
      </c>
      <c r="K16" s="36">
        <f t="shared" ref="K16:K27" si="8">C16*($B$12+$B$8*D16+(1-$B$8)*E16)</f>
        <v>288064.5272</v>
      </c>
      <c r="L16" s="44">
        <f>J16*'2. Financials'!$B$25*$B$13/10^7</f>
        <v>18.50491442</v>
      </c>
      <c r="M16" s="44">
        <f>(K16*('2. Financials'!$B$28+'2. Financials'!$B$32)+K16*'2. Financials'!$B$38*'2. Financials'!$B$29*2*'2. Financials'!$B$30+K16*(1-'2. Financials'!$B$38)*'2. Financials'!$B$29*'2. Financials'!$B$31+'2. Financials'!$B$33)*$B$13/10^7</f>
        <v>3.50214449</v>
      </c>
      <c r="N16" s="46">
        <f t="shared" ref="N16:N27" si="9">L16-M16</f>
        <v>15.00276993</v>
      </c>
      <c r="O16" s="46">
        <f t="shared" ref="O16:O27" si="10">SUM($N$16:N16)</f>
        <v>15.00276993</v>
      </c>
    </row>
    <row r="17">
      <c r="A17" s="32">
        <v>2.0</v>
      </c>
      <c r="B17" s="33">
        <f t="shared" si="1"/>
        <v>0.6552</v>
      </c>
      <c r="C17" s="36">
        <f t="shared" si="2"/>
        <v>4265096.094</v>
      </c>
      <c r="D17" s="38">
        <f t="shared" si="3"/>
        <v>0.018</v>
      </c>
      <c r="E17" s="38">
        <f t="shared" si="4"/>
        <v>0.036</v>
      </c>
      <c r="F17" s="36">
        <f t="shared" si="5"/>
        <v>125248.724</v>
      </c>
      <c r="G17" s="36">
        <f t="shared" si="6"/>
        <v>139165.2488</v>
      </c>
      <c r="H17" s="36">
        <f t="shared" si="7"/>
        <v>13916.52488</v>
      </c>
      <c r="I17" s="36">
        <f>F17*('2. Financials'!$B$38+(1-'2. Financials'!$B$38)*'2. Financials'!$B$40+(1-'2. Financials'!$B$38)*(1-'2. Financials'!$B$40)*'2. Financials'!$B$41)</f>
        <v>72832.13298</v>
      </c>
      <c r="J17" s="36">
        <f>(H17+I17)*'2. Financials'!$B$43*'2. Financials'!$B$44</f>
        <v>55955.96052</v>
      </c>
      <c r="K17" s="36">
        <f t="shared" si="8"/>
        <v>278612.7346</v>
      </c>
      <c r="L17" s="44">
        <f>J17*'2. Financials'!$B$25*$B$13/10^7</f>
        <v>20.14414579</v>
      </c>
      <c r="M17" s="44">
        <f>(K17*('2. Financials'!$B$28+'2. Financials'!$B$32)+K17*'2. Financials'!$B$38*'2. Financials'!$B$29*2*'2. Financials'!$B$30+K17*(1-'2. Financials'!$B$38)*'2. Financials'!$B$29*'2. Financials'!$B$31+'2. Financials'!$B$33)*$B$13/10^7</f>
        <v>3.387234321</v>
      </c>
      <c r="N17" s="46">
        <f t="shared" si="9"/>
        <v>16.75691147</v>
      </c>
      <c r="O17" s="46">
        <f t="shared" si="10"/>
        <v>31.7596814</v>
      </c>
    </row>
    <row r="18" ht="15.75" customHeight="1">
      <c r="A18" s="32">
        <v>3.0</v>
      </c>
      <c r="B18" s="33">
        <f t="shared" si="1"/>
        <v>0.6652</v>
      </c>
      <c r="C18" s="36">
        <f t="shared" si="2"/>
        <v>4330192.188</v>
      </c>
      <c r="D18" s="38">
        <f t="shared" si="3"/>
        <v>0.0162</v>
      </c>
      <c r="E18" s="38">
        <f t="shared" si="4"/>
        <v>0.0324</v>
      </c>
      <c r="F18" s="36">
        <f t="shared" si="5"/>
        <v>114444.3011</v>
      </c>
      <c r="G18" s="36">
        <f t="shared" si="6"/>
        <v>141289.2606</v>
      </c>
      <c r="H18" s="36">
        <f t="shared" si="7"/>
        <v>26844.95951</v>
      </c>
      <c r="I18" s="36">
        <f>F18*('2. Financials'!$B$38+(1-'2. Financials'!$B$38)*'2. Financials'!$B$40+(1-'2. Financials'!$B$38)*(1-'2. Financials'!$B$40)*'2. Financials'!$B$41)</f>
        <v>66549.36107</v>
      </c>
      <c r="J18" s="36">
        <f>(H18+I18)*'2. Financials'!$B$43*'2. Financials'!$B$44</f>
        <v>60242.64863</v>
      </c>
      <c r="K18" s="36">
        <f t="shared" si="8"/>
        <v>270149.0323</v>
      </c>
      <c r="L18" s="44">
        <f>J18*'2. Financials'!$B$25*$B$13/10^7</f>
        <v>21.68735351</v>
      </c>
      <c r="M18" s="44">
        <f>(K18*('2. Financials'!$B$28+'2. Financials'!$B$32)+K18*'2. Financials'!$B$38*'2. Financials'!$B$29*2*'2. Financials'!$B$30+K18*(1-'2. Financials'!$B$38)*'2. Financials'!$B$29*'2. Financials'!$B$31+'2. Financials'!$B$33)*$B$13/10^7</f>
        <v>3.28433686</v>
      </c>
      <c r="N18" s="46">
        <f t="shared" si="9"/>
        <v>18.40301665</v>
      </c>
      <c r="O18" s="46">
        <f t="shared" si="10"/>
        <v>50.16269805</v>
      </c>
    </row>
    <row r="19" ht="15.75" customHeight="1">
      <c r="A19" s="32">
        <v>4.0</v>
      </c>
      <c r="B19" s="33">
        <f t="shared" si="1"/>
        <v>0.6752</v>
      </c>
      <c r="C19" s="36">
        <f t="shared" si="2"/>
        <v>4395288.283</v>
      </c>
      <c r="D19" s="38">
        <f t="shared" si="3"/>
        <v>0.01458</v>
      </c>
      <c r="E19" s="38">
        <f t="shared" si="4"/>
        <v>0.02916</v>
      </c>
      <c r="F19" s="36">
        <f t="shared" si="5"/>
        <v>104548.2755</v>
      </c>
      <c r="G19" s="36">
        <f t="shared" si="6"/>
        <v>143413.2723</v>
      </c>
      <c r="H19" s="36">
        <f t="shared" si="7"/>
        <v>38864.9968</v>
      </c>
      <c r="I19" s="36">
        <f>F19*('2. Financials'!$B$38+(1-'2. Financials'!$B$38)*'2. Financials'!$B$40+(1-'2. Financials'!$B$38)*(1-'2. Financials'!$B$40)*'2. Financials'!$B$41)</f>
        <v>60794.82221</v>
      </c>
      <c r="J19" s="36">
        <f>(H19+I19)*'2. Financials'!$B$43*'2. Financials'!$B$44</f>
        <v>64284.1173</v>
      </c>
      <c r="K19" s="36">
        <f t="shared" si="8"/>
        <v>262593.7273</v>
      </c>
      <c r="L19" s="44">
        <f>J19*'2. Financials'!$B$25*$B$13/10^7</f>
        <v>23.14228223</v>
      </c>
      <c r="M19" s="44">
        <f>(K19*('2. Financials'!$B$28+'2. Financials'!$B$32)+K19*'2. Financials'!$B$38*'2. Financials'!$B$29*2*'2. Financials'!$B$30+K19*(1-'2. Financials'!$B$38)*'2. Financials'!$B$29*'2. Financials'!$B$31+'2. Financials'!$B$33)*$B$13/10^7</f>
        <v>3.19248324</v>
      </c>
      <c r="N19" s="46">
        <f t="shared" si="9"/>
        <v>19.94979899</v>
      </c>
      <c r="O19" s="46">
        <f t="shared" si="10"/>
        <v>70.11249704</v>
      </c>
    </row>
    <row r="20" ht="15.75" customHeight="1">
      <c r="A20" s="32">
        <v>5.0</v>
      </c>
      <c r="B20" s="33">
        <f t="shared" si="1"/>
        <v>0.6852</v>
      </c>
      <c r="C20" s="36">
        <f t="shared" si="2"/>
        <v>4460384.377</v>
      </c>
      <c r="D20" s="38">
        <f t="shared" si="3"/>
        <v>0.013122</v>
      </c>
      <c r="E20" s="38">
        <f t="shared" si="4"/>
        <v>0.026244</v>
      </c>
      <c r="F20" s="36">
        <f t="shared" si="5"/>
        <v>95487.01207</v>
      </c>
      <c r="G20" s="36">
        <f t="shared" si="6"/>
        <v>145537.2841</v>
      </c>
      <c r="H20" s="36">
        <f t="shared" si="7"/>
        <v>50050.27199</v>
      </c>
      <c r="I20" s="36">
        <f>F20*('2. Financials'!$B$38+(1-'2. Financials'!$B$38)*'2. Financials'!$B$40+(1-'2. Financials'!$B$38)*(1-'2. Financials'!$B$40)*'2. Financials'!$B$41)</f>
        <v>55525.69752</v>
      </c>
      <c r="J20" s="36">
        <f>(H20+I20)*'2. Financials'!$B$43*'2. Financials'!$B$44</f>
        <v>68100.24416</v>
      </c>
      <c r="K20" s="36">
        <f t="shared" si="8"/>
        <v>255873.1844</v>
      </c>
      <c r="L20" s="44">
        <f>J20*'2. Financials'!$B$25*$B$13/10^7</f>
        <v>24.5160879</v>
      </c>
      <c r="M20" s="44">
        <f>(K20*('2. Financials'!$B$28+'2. Financials'!$B$32)+K20*'2. Financials'!$B$38*'2. Financials'!$B$29*2*'2. Financials'!$B$30+K20*(1-'2. Financials'!$B$38)*'2. Financials'!$B$29*'2. Financials'!$B$31+'2. Financials'!$B$33)*$B$13/10^7</f>
        <v>3.110778239</v>
      </c>
      <c r="N20" s="46">
        <f t="shared" si="9"/>
        <v>21.40530966</v>
      </c>
      <c r="O20" s="46">
        <f t="shared" si="10"/>
        <v>91.51780669</v>
      </c>
    </row>
    <row r="21" ht="15.75" customHeight="1">
      <c r="A21" s="32">
        <v>6.0</v>
      </c>
      <c r="B21" s="33">
        <f t="shared" si="1"/>
        <v>0.6952</v>
      </c>
      <c r="C21" s="36">
        <f t="shared" si="2"/>
        <v>4525480.471</v>
      </c>
      <c r="D21" s="38">
        <f t="shared" si="3"/>
        <v>0.0118098</v>
      </c>
      <c r="E21" s="38">
        <f t="shared" si="4"/>
        <v>0.0236196</v>
      </c>
      <c r="F21" s="36">
        <f t="shared" si="5"/>
        <v>87192.51855</v>
      </c>
      <c r="G21" s="36">
        <f t="shared" si="6"/>
        <v>147661.2958</v>
      </c>
      <c r="H21" s="36">
        <f t="shared" si="7"/>
        <v>60468.77724</v>
      </c>
      <c r="I21" s="36">
        <f>F21*('2. Financials'!$B$38+(1-'2. Financials'!$B$38)*'2. Financials'!$B$40+(1-'2. Financials'!$B$38)*(1-'2. Financials'!$B$40)*'2. Financials'!$B$41)</f>
        <v>50702.44954</v>
      </c>
      <c r="J21" s="36">
        <f>(H21+I21)*'2. Financials'!$B$43*'2. Financials'!$B$44</f>
        <v>71709.38351</v>
      </c>
      <c r="K21" s="36">
        <f t="shared" si="8"/>
        <v>249919.4114</v>
      </c>
      <c r="L21" s="44">
        <f>J21*'2. Financials'!$B$25*$B$13/10^7</f>
        <v>25.81537806</v>
      </c>
      <c r="M21" s="44">
        <f>(K21*('2. Financials'!$B$28+'2. Financials'!$B$32)+K21*'2. Financials'!$B$38*'2. Financials'!$B$29*2*'2. Financials'!$B$30+K21*(1-'2. Financials'!$B$38)*'2. Financials'!$B$29*'2. Financials'!$B$31+'2. Financials'!$B$33)*$B$13/10^7</f>
        <v>3.038395245</v>
      </c>
      <c r="N21" s="46">
        <f t="shared" si="9"/>
        <v>22.77698282</v>
      </c>
      <c r="O21" s="46">
        <f t="shared" si="10"/>
        <v>114.2947895</v>
      </c>
    </row>
    <row r="22" ht="15.75" customHeight="1">
      <c r="A22" s="32">
        <v>7.0</v>
      </c>
      <c r="B22" s="33">
        <f t="shared" si="1"/>
        <v>0.7052</v>
      </c>
      <c r="C22" s="36">
        <f t="shared" si="2"/>
        <v>4590576.565</v>
      </c>
      <c r="D22" s="38">
        <f t="shared" si="3"/>
        <v>0.01062882</v>
      </c>
      <c r="E22" s="38">
        <f t="shared" si="4"/>
        <v>0.02125764</v>
      </c>
      <c r="F22" s="36">
        <f t="shared" si="5"/>
        <v>79602.05361</v>
      </c>
      <c r="G22" s="36">
        <f t="shared" si="6"/>
        <v>149785.3075</v>
      </c>
      <c r="H22" s="36">
        <f t="shared" si="7"/>
        <v>70183.25391</v>
      </c>
      <c r="I22" s="36">
        <f>F22*('2. Financials'!$B$38+(1-'2. Financials'!$B$38)*'2. Financials'!$B$40+(1-'2. Financials'!$B$38)*(1-'2. Financials'!$B$40)*'2. Financials'!$B$41)</f>
        <v>46288.59418</v>
      </c>
      <c r="J22" s="36">
        <f>(H22+I22)*'2. Financials'!$B$43*'2. Financials'!$B$44</f>
        <v>75128.47222</v>
      </c>
      <c r="K22" s="36">
        <f t="shared" si="8"/>
        <v>244669.6671</v>
      </c>
      <c r="L22" s="44">
        <f>J22*'2. Financials'!$B$25*$B$13/10^7</f>
        <v>27.04625</v>
      </c>
      <c r="M22" s="44">
        <f>(K22*('2. Financials'!$B$28+'2. Financials'!$B$32)+K22*'2. Financials'!$B$38*'2. Financials'!$B$29*2*'2. Financials'!$B$30+K22*(1-'2. Financials'!$B$38)*'2. Financials'!$B$29*'2. Financials'!$B$31+'2. Financials'!$B$33)*$B$13/10^7</f>
        <v>2.974571477</v>
      </c>
      <c r="N22" s="46">
        <f t="shared" si="9"/>
        <v>24.07167852</v>
      </c>
      <c r="O22" s="46">
        <f t="shared" si="10"/>
        <v>138.366468</v>
      </c>
    </row>
    <row r="23" ht="15.75" customHeight="1">
      <c r="A23" s="32">
        <v>8.0</v>
      </c>
      <c r="B23" s="33">
        <f t="shared" si="1"/>
        <v>0.7152</v>
      </c>
      <c r="C23" s="36">
        <f t="shared" si="2"/>
        <v>4655672.66</v>
      </c>
      <c r="D23" s="38">
        <f t="shared" si="3"/>
        <v>0.009565938</v>
      </c>
      <c r="E23" s="38">
        <f t="shared" si="4"/>
        <v>0.019131876</v>
      </c>
      <c r="F23" s="36">
        <f t="shared" si="5"/>
        <v>72657.75648</v>
      </c>
      <c r="G23" s="36">
        <f t="shared" si="6"/>
        <v>151909.3193</v>
      </c>
      <c r="H23" s="36">
        <f t="shared" si="7"/>
        <v>79251.56277</v>
      </c>
      <c r="I23" s="36">
        <f>F23*('2. Financials'!$B$38+(1-'2. Financials'!$B$38)*'2. Financials'!$B$40+(1-'2. Financials'!$B$38)*(1-'2. Financials'!$B$40)*'2. Financials'!$B$41)</f>
        <v>42250.48539</v>
      </c>
      <c r="J23" s="36">
        <f>(H23+I23)*'2. Financials'!$B$43*'2. Financials'!$B$44</f>
        <v>78373.12965</v>
      </c>
      <c r="K23" s="36">
        <f t="shared" si="8"/>
        <v>240066.0905</v>
      </c>
      <c r="L23" s="44">
        <f>J23*'2. Financials'!$B$25*$B$13/10^7</f>
        <v>28.21432667</v>
      </c>
      <c r="M23" s="44">
        <f>(K23*('2. Financials'!$B$28+'2. Financials'!$B$32)+K23*'2. Financials'!$B$38*'2. Financials'!$B$29*2*'2. Financials'!$B$30+K23*(1-'2. Financials'!$B$38)*'2. Financials'!$B$29*'2. Financials'!$B$31+'2. Financials'!$B$33)*$B$13/10^7</f>
        <v>2.918603495</v>
      </c>
      <c r="N23" s="46">
        <f t="shared" si="9"/>
        <v>25.29572318</v>
      </c>
      <c r="O23" s="46">
        <f t="shared" si="10"/>
        <v>163.6621912</v>
      </c>
    </row>
    <row r="24" ht="15.75" customHeight="1">
      <c r="A24" s="32">
        <v>9.0</v>
      </c>
      <c r="B24" s="33">
        <f t="shared" si="1"/>
        <v>0.7252</v>
      </c>
      <c r="C24" s="36">
        <f t="shared" si="2"/>
        <v>4720768.754</v>
      </c>
      <c r="D24" s="38">
        <f t="shared" si="3"/>
        <v>0.0086093442</v>
      </c>
      <c r="E24" s="38">
        <f t="shared" si="4"/>
        <v>0.0172186884</v>
      </c>
      <c r="F24" s="36">
        <f t="shared" si="5"/>
        <v>66306.29824</v>
      </c>
      <c r="G24" s="36">
        <f t="shared" si="6"/>
        <v>154033.331</v>
      </c>
      <c r="H24" s="36">
        <f t="shared" si="7"/>
        <v>87727.03275</v>
      </c>
      <c r="I24" s="36">
        <f>F24*('2. Financials'!$B$38+(1-'2. Financials'!$B$38)*'2. Financials'!$B$40+(1-'2. Financials'!$B$38)*(1-'2. Financials'!$B$40)*'2. Financials'!$B$41)</f>
        <v>38557.11243</v>
      </c>
      <c r="J24" s="36">
        <f>(H24+I24)*'2. Financials'!$B$43*'2. Financials'!$B$44</f>
        <v>81457.7518</v>
      </c>
      <c r="K24" s="36">
        <f t="shared" si="8"/>
        <v>236055.3528</v>
      </c>
      <c r="L24" s="44">
        <f>J24*'2. Financials'!$B$25*$B$13/10^7</f>
        <v>29.32479065</v>
      </c>
      <c r="M24" s="44">
        <f>(K24*('2. Financials'!$B$28+'2. Financials'!$B$32)+K24*'2. Financials'!$B$38*'2. Financials'!$B$29*2*'2. Financials'!$B$30+K24*(1-'2. Financials'!$B$38)*'2. Financials'!$B$29*'2. Financials'!$B$31+'2. Financials'!$B$33)*$B$13/10^7</f>
        <v>2.869842952</v>
      </c>
      <c r="N24" s="46">
        <f t="shared" si="9"/>
        <v>26.4549477</v>
      </c>
      <c r="O24" s="46">
        <f t="shared" si="10"/>
        <v>190.1171389</v>
      </c>
    </row>
    <row r="25" ht="15.75" customHeight="1">
      <c r="A25" s="32">
        <v>10.0</v>
      </c>
      <c r="B25" s="33">
        <f t="shared" si="1"/>
        <v>0.7352</v>
      </c>
      <c r="C25" s="36">
        <f t="shared" si="2"/>
        <v>4785864.848</v>
      </c>
      <c r="D25" s="38">
        <f t="shared" si="3"/>
        <v>0.00774840978</v>
      </c>
      <c r="E25" s="38">
        <f t="shared" si="4"/>
        <v>0.01549681956</v>
      </c>
      <c r="F25" s="36">
        <f t="shared" si="5"/>
        <v>60498.55408</v>
      </c>
      <c r="G25" s="36">
        <f t="shared" si="6"/>
        <v>156157.3427</v>
      </c>
      <c r="H25" s="36">
        <f t="shared" si="7"/>
        <v>95658.78865</v>
      </c>
      <c r="I25" s="36">
        <f>F25*('2. Financials'!$B$38+(1-'2. Financials'!$B$38)*'2. Financials'!$B$40+(1-'2. Financials'!$B$38)*(1-'2. Financials'!$B$40)*'2. Financials'!$B$41)</f>
        <v>35179.9092</v>
      </c>
      <c r="J25" s="36">
        <f>(H25+I25)*'2. Financials'!$B$43*'2. Financials'!$B$44</f>
        <v>84395.59978</v>
      </c>
      <c r="K25" s="36">
        <f t="shared" si="8"/>
        <v>232588.3292</v>
      </c>
      <c r="L25" s="44">
        <f>J25*'2. Financials'!$B$25*$B$13/10^7</f>
        <v>30.38241592</v>
      </c>
      <c r="M25" s="44">
        <f>(K25*('2. Financials'!$B$28+'2. Financials'!$B$32)+K25*'2. Financials'!$B$38*'2. Financials'!$B$29*2*'2. Financials'!$B$30+K25*(1-'2. Financials'!$B$38)*'2. Financials'!$B$29*'2. Financials'!$B$31+'2. Financials'!$B$33)*$B$13/10^7</f>
        <v>2.827692612</v>
      </c>
      <c r="N25" s="46">
        <f t="shared" si="9"/>
        <v>27.55472331</v>
      </c>
      <c r="O25" s="46">
        <f t="shared" si="10"/>
        <v>217.6718622</v>
      </c>
    </row>
    <row r="26" ht="15.75" customHeight="1">
      <c r="A26" s="32">
        <v>11.0</v>
      </c>
      <c r="B26" s="33">
        <f t="shared" si="1"/>
        <v>0.7452</v>
      </c>
      <c r="C26" s="36">
        <f t="shared" si="2"/>
        <v>4850960.942</v>
      </c>
      <c r="D26" s="38">
        <f t="shared" si="3"/>
        <v>0.006973568802</v>
      </c>
      <c r="E26" s="38">
        <f t="shared" si="4"/>
        <v>0.0139471376</v>
      </c>
      <c r="F26" s="36">
        <f t="shared" si="5"/>
        <v>55189.29577</v>
      </c>
      <c r="G26" s="36">
        <f t="shared" si="6"/>
        <v>158281.3545</v>
      </c>
      <c r="H26" s="36">
        <f t="shared" si="7"/>
        <v>103092.0587</v>
      </c>
      <c r="I26" s="36">
        <f>F26*('2. Financials'!$B$38+(1-'2. Financials'!$B$38)*'2. Financials'!$B$40+(1-'2. Financials'!$B$38)*(1-'2. Financials'!$B$40)*'2. Financials'!$B$41)</f>
        <v>32092.57549</v>
      </c>
      <c r="J26" s="36">
        <f>(H26+I26)*'2. Financials'!$B$43*'2. Financials'!$B$44</f>
        <v>87198.88283</v>
      </c>
      <c r="K26" s="36">
        <f t="shared" si="8"/>
        <v>229619.7914</v>
      </c>
      <c r="L26" s="44">
        <f>J26*'2. Financials'!$B$25*$B$13/10^7</f>
        <v>31.39159782</v>
      </c>
      <c r="M26" s="44">
        <f>(K26*('2. Financials'!$B$28+'2. Financials'!$B$32)+K26*'2. Financials'!$B$38*'2. Financials'!$B$29*2*'2. Financials'!$B$30+K26*(1-'2. Financials'!$B$38)*'2. Financials'!$B$29*'2. Financials'!$B$31+'2. Financials'!$B$33)*$B$13/10^7</f>
        <v>2.791602614</v>
      </c>
      <c r="N26" s="46">
        <f t="shared" si="9"/>
        <v>28.5999952</v>
      </c>
      <c r="O26" s="46">
        <f t="shared" si="10"/>
        <v>246.2718574</v>
      </c>
    </row>
    <row r="27" ht="15.75" customHeight="1">
      <c r="A27" s="32">
        <v>12.0</v>
      </c>
      <c r="B27" s="33">
        <f t="shared" si="1"/>
        <v>0.7552</v>
      </c>
      <c r="C27" s="36">
        <f t="shared" si="2"/>
        <v>4916057.037</v>
      </c>
      <c r="D27" s="38">
        <f t="shared" si="3"/>
        <v>0.006276211922</v>
      </c>
      <c r="E27" s="38">
        <f t="shared" si="4"/>
        <v>0.01255242384</v>
      </c>
      <c r="F27" s="36">
        <f t="shared" si="5"/>
        <v>50336.90358</v>
      </c>
      <c r="G27" s="36">
        <f t="shared" si="6"/>
        <v>160405.3662</v>
      </c>
      <c r="H27" s="36">
        <f t="shared" si="7"/>
        <v>110068.4626</v>
      </c>
      <c r="I27" s="36">
        <f>F27*('2. Financials'!$B$38+(1-'2. Financials'!$B$38)*'2. Financials'!$B$40+(1-'2. Financials'!$B$38)*(1-'2. Financials'!$B$40)*'2. Financials'!$B$41)</f>
        <v>29270.90943</v>
      </c>
      <c r="J27" s="36">
        <f>(H27+I27)*'2. Financials'!$B$43*'2. Financials'!$B$44</f>
        <v>89878.83608</v>
      </c>
      <c r="K27" s="36">
        <f t="shared" si="8"/>
        <v>227108.1198</v>
      </c>
      <c r="L27" s="44">
        <f>J27*'2. Financials'!$B$25*$B$13/10^7</f>
        <v>32.35638099</v>
      </c>
      <c r="M27" s="44">
        <f>(K27*('2. Financials'!$B$28+'2. Financials'!$B$32)+K27*'2. Financials'!$B$38*'2. Financials'!$B$29*2*'2. Financials'!$B$30+K27*(1-'2. Financials'!$B$38)*'2. Financials'!$B$29*'2. Financials'!$B$31+'2. Financials'!$B$33)*$B$13/10^7</f>
        <v>2.761066966</v>
      </c>
      <c r="N27" s="46">
        <f t="shared" si="9"/>
        <v>29.59531402</v>
      </c>
      <c r="O27" s="46">
        <f t="shared" si="10"/>
        <v>275.8671714</v>
      </c>
    </row>
    <row r="28" ht="15.75" customHeight="1">
      <c r="A28" s="66" t="s">
        <v>276</v>
      </c>
      <c r="B28" s="66"/>
      <c r="C28" s="66"/>
      <c r="D28" s="66"/>
      <c r="E28" s="66"/>
      <c r="F28" s="66"/>
      <c r="G28" s="66"/>
      <c r="H28" s="66"/>
      <c r="I28" s="66" t="s">
        <v>277</v>
      </c>
      <c r="J28" s="67">
        <f>AVERAGE(J16:J27)</f>
        <v>72343.96388</v>
      </c>
      <c r="K28" s="66"/>
      <c r="L28" s="66">
        <f t="shared" ref="L28:N28" si="11">SUM(L16:L27)</f>
        <v>312.525924</v>
      </c>
      <c r="M28" s="66">
        <f t="shared" si="11"/>
        <v>36.65875251</v>
      </c>
      <c r="N28" s="66">
        <f t="shared" si="11"/>
        <v>275.8671714</v>
      </c>
      <c r="O28" s="66"/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printOptions/>
  <pageMargins bottom="1.0" footer="0.0" header="0.0" left="0.75" right="0.7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29"/>
    <col customWidth="1" min="2" max="2" width="8.29"/>
    <col customWidth="1" min="3" max="3" width="10.29"/>
    <col customWidth="1" min="4" max="4" width="108.0"/>
  </cols>
  <sheetData>
    <row r="1">
      <c r="A1" s="3" t="s">
        <v>5</v>
      </c>
      <c r="B1" s="3" t="s">
        <v>10</v>
      </c>
      <c r="C1" s="3" t="s">
        <v>11</v>
      </c>
      <c r="D1" s="3" t="s">
        <v>12</v>
      </c>
    </row>
    <row r="2">
      <c r="A2" s="6" t="s">
        <v>13</v>
      </c>
      <c r="B2" s="8" t="s">
        <v>14</v>
      </c>
      <c r="C2" s="8" t="s">
        <v>14</v>
      </c>
      <c r="D2" s="11" t="s">
        <v>21</v>
      </c>
    </row>
    <row r="3">
      <c r="A3" s="6" t="s">
        <v>22</v>
      </c>
      <c r="B3" s="8" t="s">
        <v>14</v>
      </c>
      <c r="C3" s="8" t="s">
        <v>14</v>
      </c>
      <c r="D3" s="11" t="s">
        <v>23</v>
      </c>
    </row>
    <row r="4">
      <c r="A4" s="6" t="s">
        <v>24</v>
      </c>
      <c r="B4" s="8" t="s">
        <v>14</v>
      </c>
      <c r="C4" s="13" t="s">
        <v>25</v>
      </c>
      <c r="D4" s="11" t="s">
        <v>26</v>
      </c>
    </row>
    <row r="5">
      <c r="A5" s="6" t="s">
        <v>27</v>
      </c>
      <c r="B5" s="8" t="s">
        <v>14</v>
      </c>
      <c r="C5" s="13" t="s">
        <v>25</v>
      </c>
      <c r="D5" s="11" t="s">
        <v>28</v>
      </c>
    </row>
    <row r="6">
      <c r="A6" s="11" t="s">
        <v>29</v>
      </c>
      <c r="B6" s="8" t="s">
        <v>14</v>
      </c>
      <c r="C6" s="13" t="s">
        <v>25</v>
      </c>
      <c r="D6" s="11" t="s">
        <v>31</v>
      </c>
    </row>
    <row r="7">
      <c r="A7" s="6" t="s">
        <v>32</v>
      </c>
      <c r="B7" s="8" t="s">
        <v>14</v>
      </c>
      <c r="C7" s="13" t="s">
        <v>25</v>
      </c>
      <c r="D7" s="11" t="s">
        <v>33</v>
      </c>
    </row>
    <row r="8">
      <c r="A8" s="11" t="s">
        <v>34</v>
      </c>
      <c r="B8" s="13" t="s">
        <v>25</v>
      </c>
      <c r="C8" s="13" t="s">
        <v>25</v>
      </c>
      <c r="D8" s="11" t="s">
        <v>36</v>
      </c>
    </row>
    <row r="9">
      <c r="A9" s="11" t="s">
        <v>39</v>
      </c>
      <c r="B9" s="13" t="s">
        <v>25</v>
      </c>
      <c r="C9" s="13" t="s">
        <v>25</v>
      </c>
      <c r="D9" s="11" t="s">
        <v>42</v>
      </c>
    </row>
    <row r="10">
      <c r="A10" s="11" t="s">
        <v>43</v>
      </c>
      <c r="B10" s="13" t="s">
        <v>25</v>
      </c>
      <c r="C10" s="8" t="s">
        <v>14</v>
      </c>
      <c r="D10" s="11" t="s">
        <v>44</v>
      </c>
    </row>
    <row r="11">
      <c r="A11" s="11" t="s">
        <v>46</v>
      </c>
      <c r="B11" s="13" t="s">
        <v>25</v>
      </c>
      <c r="C11" s="13" t="s">
        <v>25</v>
      </c>
      <c r="D11" s="11" t="s">
        <v>48</v>
      </c>
    </row>
    <row r="14">
      <c r="A14" s="19" t="s">
        <v>5</v>
      </c>
      <c r="B14" s="19" t="s">
        <v>10</v>
      </c>
      <c r="C14" s="19" t="s">
        <v>11</v>
      </c>
      <c r="D14" s="19" t="s">
        <v>12</v>
      </c>
    </row>
    <row r="15">
      <c r="A15" s="11" t="s">
        <v>54</v>
      </c>
      <c r="B15" s="11" t="s">
        <v>14</v>
      </c>
      <c r="C15" s="11" t="s">
        <v>14</v>
      </c>
      <c r="D15" s="11" t="s">
        <v>57</v>
      </c>
    </row>
    <row r="16">
      <c r="A16" s="11" t="s">
        <v>61</v>
      </c>
      <c r="B16" s="11" t="s">
        <v>14</v>
      </c>
      <c r="C16" s="11" t="s">
        <v>14</v>
      </c>
      <c r="D16" s="11" t="s">
        <v>65</v>
      </c>
    </row>
    <row r="17">
      <c r="A17" s="11" t="s">
        <v>68</v>
      </c>
      <c r="B17" s="11" t="s">
        <v>14</v>
      </c>
      <c r="C17" s="11" t="s">
        <v>25</v>
      </c>
      <c r="D17" s="11" t="s">
        <v>83</v>
      </c>
    </row>
    <row r="18">
      <c r="A18" s="11" t="s">
        <v>85</v>
      </c>
      <c r="B18" s="11" t="s">
        <v>14</v>
      </c>
      <c r="C18" s="11" t="s">
        <v>25</v>
      </c>
      <c r="D18" s="11" t="s">
        <v>87</v>
      </c>
    </row>
    <row r="19">
      <c r="A19" s="11" t="s">
        <v>89</v>
      </c>
      <c r="B19" s="11" t="s">
        <v>14</v>
      </c>
      <c r="C19" s="11" t="s">
        <v>25</v>
      </c>
      <c r="D19" s="11" t="s">
        <v>94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81.86"/>
    <col customWidth="1" min="3" max="3" width="70.71"/>
    <col customWidth="1" min="4" max="4" width="56.57"/>
    <col customWidth="1" min="5" max="5" width="17.57"/>
  </cols>
  <sheetData>
    <row r="1">
      <c r="A1" s="11" t="s">
        <v>183</v>
      </c>
      <c r="B1" s="11" t="s">
        <v>184</v>
      </c>
      <c r="C1" s="11" t="s">
        <v>185</v>
      </c>
      <c r="D1" s="11"/>
      <c r="E1" s="11"/>
    </row>
    <row r="2">
      <c r="A2" s="11" t="s">
        <v>186</v>
      </c>
      <c r="B2" s="11" t="s">
        <v>188</v>
      </c>
      <c r="C2" s="11" t="s">
        <v>189</v>
      </c>
      <c r="D2" s="11"/>
      <c r="E2" s="11"/>
    </row>
    <row r="3">
      <c r="A3" s="11" t="s">
        <v>190</v>
      </c>
      <c r="B3" s="11" t="s">
        <v>191</v>
      </c>
      <c r="C3" s="11" t="s">
        <v>192</v>
      </c>
      <c r="D3" s="11"/>
      <c r="E3" s="11"/>
    </row>
    <row r="4">
      <c r="A4" s="11" t="s">
        <v>194</v>
      </c>
      <c r="B4" s="11" t="s">
        <v>195</v>
      </c>
      <c r="C4" s="11" t="s">
        <v>196</v>
      </c>
      <c r="D4" s="11"/>
      <c r="E4" s="11"/>
    </row>
    <row r="5">
      <c r="A5" s="11" t="s">
        <v>197</v>
      </c>
      <c r="B5" s="11" t="s">
        <v>198</v>
      </c>
      <c r="C5" s="11" t="s">
        <v>199</v>
      </c>
      <c r="D5" s="11"/>
      <c r="E5" s="11"/>
    </row>
    <row r="6">
      <c r="A6" s="11" t="s">
        <v>200</v>
      </c>
      <c r="B6" s="11" t="s">
        <v>201</v>
      </c>
      <c r="C6" s="11" t="s">
        <v>202</v>
      </c>
      <c r="D6" s="11"/>
      <c r="E6" s="11"/>
    </row>
    <row r="7">
      <c r="A7" s="11" t="s">
        <v>203</v>
      </c>
      <c r="B7" s="11" t="s">
        <v>204</v>
      </c>
      <c r="C7" s="11" t="s">
        <v>205</v>
      </c>
      <c r="D7" s="11"/>
      <c r="E7" s="11"/>
    </row>
    <row r="8">
      <c r="A8" s="11" t="s">
        <v>206</v>
      </c>
      <c r="B8" s="11" t="s">
        <v>207</v>
      </c>
      <c r="C8" s="11" t="s">
        <v>208</v>
      </c>
      <c r="D8" s="11"/>
      <c r="E8" s="11"/>
    </row>
    <row r="9">
      <c r="A9" s="11" t="s">
        <v>209</v>
      </c>
      <c r="B9" s="11" t="s">
        <v>210</v>
      </c>
      <c r="C9" s="11" t="s">
        <v>211</v>
      </c>
      <c r="D9" s="11"/>
      <c r="E9" s="11"/>
    </row>
    <row r="10">
      <c r="A10" s="11"/>
      <c r="B10" s="11"/>
      <c r="C10" s="11"/>
      <c r="D10" s="11"/>
      <c r="E10" s="11"/>
    </row>
    <row r="11">
      <c r="A11" s="11"/>
      <c r="B11" s="11"/>
      <c r="C11" s="11"/>
      <c r="D11" s="11"/>
      <c r="E11" s="11"/>
    </row>
    <row r="12">
      <c r="A12" s="11"/>
      <c r="B12" s="11"/>
      <c r="C12" s="11"/>
      <c r="D12" s="11"/>
      <c r="E12" s="11"/>
    </row>
    <row r="13">
      <c r="A13" s="11"/>
      <c r="B13" s="11"/>
      <c r="C13" s="11"/>
      <c r="D13" s="11"/>
      <c r="E13" s="11"/>
    </row>
    <row r="14">
      <c r="A14" s="19" t="s">
        <v>183</v>
      </c>
      <c r="B14" s="19"/>
      <c r="C14" s="19"/>
      <c r="D14" s="11"/>
      <c r="E14" s="11"/>
    </row>
    <row r="15">
      <c r="A15" s="11" t="s">
        <v>212</v>
      </c>
      <c r="E15" s="11" t="s">
        <v>213</v>
      </c>
    </row>
    <row r="16">
      <c r="A16" s="11" t="s">
        <v>214</v>
      </c>
      <c r="E16" s="11" t="s">
        <v>215</v>
      </c>
    </row>
    <row r="17">
      <c r="A17" s="11" t="s">
        <v>216</v>
      </c>
      <c r="E17" s="11" t="s">
        <v>215</v>
      </c>
    </row>
    <row r="18">
      <c r="A18" s="11" t="s">
        <v>217</v>
      </c>
      <c r="E18" s="11" t="s">
        <v>218</v>
      </c>
    </row>
    <row r="19">
      <c r="A19" s="11" t="s">
        <v>219</v>
      </c>
      <c r="E19" s="11" t="s">
        <v>218</v>
      </c>
    </row>
    <row r="20">
      <c r="A20" s="11" t="s">
        <v>220</v>
      </c>
      <c r="E20" s="11" t="s">
        <v>218</v>
      </c>
    </row>
    <row r="21">
      <c r="E21" s="11" t="s">
        <v>218</v>
      </c>
    </row>
    <row r="22">
      <c r="E22" s="11" t="s">
        <v>218</v>
      </c>
    </row>
    <row r="23">
      <c r="E23" s="11" t="s">
        <v>218</v>
      </c>
    </row>
    <row r="24">
      <c r="E24" s="11" t="s">
        <v>215</v>
      </c>
    </row>
    <row r="25">
      <c r="E25" s="11" t="s">
        <v>215</v>
      </c>
    </row>
    <row r="26">
      <c r="E26" s="11" t="s">
        <v>215</v>
      </c>
    </row>
    <row r="27">
      <c r="E27" s="11" t="s">
        <v>218</v>
      </c>
    </row>
    <row r="28">
      <c r="E28" s="11" t="s">
        <v>218</v>
      </c>
    </row>
    <row r="29">
      <c r="E29" s="11" t="s">
        <v>218</v>
      </c>
    </row>
    <row r="30">
      <c r="E30" s="11" t="s">
        <v>218</v>
      </c>
    </row>
    <row r="31">
      <c r="E31" s="11" t="s">
        <v>221</v>
      </c>
    </row>
    <row r="32">
      <c r="E32" s="11" t="s">
        <v>215</v>
      </c>
    </row>
    <row r="33">
      <c r="E33" s="11" t="s">
        <v>215</v>
      </c>
    </row>
    <row r="34">
      <c r="E34" s="11" t="s">
        <v>215</v>
      </c>
    </row>
    <row r="35">
      <c r="E35" s="11" t="s">
        <v>221</v>
      </c>
    </row>
    <row r="36">
      <c r="E36" s="11" t="s">
        <v>215</v>
      </c>
    </row>
    <row r="37">
      <c r="E37" s="11" t="s">
        <v>221</v>
      </c>
    </row>
    <row r="38">
      <c r="E38" s="11" t="s">
        <v>215</v>
      </c>
    </row>
    <row r="39">
      <c r="E39" s="11" t="s">
        <v>215</v>
      </c>
    </row>
    <row r="40">
      <c r="E40" s="11" t="s">
        <v>215</v>
      </c>
    </row>
    <row r="41">
      <c r="E41" s="11" t="s">
        <v>215</v>
      </c>
    </row>
    <row r="42">
      <c r="E42" s="11" t="s">
        <v>218</v>
      </c>
    </row>
    <row r="43">
      <c r="E43" s="11" t="s">
        <v>223</v>
      </c>
    </row>
    <row r="44">
      <c r="E44" s="11" t="s">
        <v>215</v>
      </c>
    </row>
    <row r="45">
      <c r="E45" s="11" t="s">
        <v>215</v>
      </c>
    </row>
    <row r="46">
      <c r="E46" s="11" t="s">
        <v>215</v>
      </c>
    </row>
    <row r="47">
      <c r="E47" s="11" t="s">
        <v>218</v>
      </c>
    </row>
    <row r="48">
      <c r="E48" s="11" t="s">
        <v>218</v>
      </c>
    </row>
    <row r="49">
      <c r="E49" s="11" t="s">
        <v>218</v>
      </c>
    </row>
    <row r="50">
      <c r="E50" s="11" t="s">
        <v>215</v>
      </c>
    </row>
    <row r="51">
      <c r="E51" s="11" t="s">
        <v>226</v>
      </c>
    </row>
    <row r="52">
      <c r="E52" s="11" t="s">
        <v>218</v>
      </c>
    </row>
    <row r="53">
      <c r="E53" s="11" t="s">
        <v>218</v>
      </c>
    </row>
    <row r="54">
      <c r="E54" s="11" t="s">
        <v>218</v>
      </c>
    </row>
    <row r="55">
      <c r="E55" s="11" t="s">
        <v>215</v>
      </c>
    </row>
  </sheetData>
  <drawing r:id="rId1"/>
</worksheet>
</file>