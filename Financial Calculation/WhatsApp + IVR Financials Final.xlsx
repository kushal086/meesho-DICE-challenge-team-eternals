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 " sheetId="1" r:id="rId5"/>
    <sheet state="visible" name="Final Payback" sheetId="2" r:id="rId6"/>
    <sheet state="visible" name="Final Cost Avoided" sheetId="3" r:id="rId7"/>
    <sheet state="visible" name="Final WhatsApp" sheetId="4" r:id="rId8"/>
    <sheet state="visible" name="Final SMS" sheetId="5" r:id="rId9"/>
    <sheet state="visible" name="Final IVR" sheetId="6" r:id="rId10"/>
    <sheet state="visible" name="Final Shared Costs" sheetId="7" r:id="rId11"/>
    <sheet state="hidden" name="Payback Analysis " sheetId="8" r:id="rId12"/>
    <sheet state="visible" name="RMS" sheetId="9" r:id="rId13"/>
    <sheet state="visible" name="KPIs to track" sheetId="10" r:id="rId14"/>
  </sheets>
  <definedNames/>
  <calcPr/>
</workbook>
</file>

<file path=xl/sharedStrings.xml><?xml version="1.0" encoding="utf-8"?>
<sst xmlns="http://schemas.openxmlformats.org/spreadsheetml/2006/main" count="872" uniqueCount="363">
  <si>
    <t>Total Costs</t>
  </si>
  <si>
    <t>Assumptions</t>
  </si>
  <si>
    <t>Total Cost Avoided (logistics cost saved on RTOs prevented)</t>
  </si>
  <si>
    <t>Total Costs: WhatsApp confirmation</t>
  </si>
  <si>
    <t>Channel</t>
  </si>
  <si>
    <t>Components</t>
  </si>
  <si>
    <t>Month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</si>
  <si>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</si>
  <si>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</si>
  <si>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</si>
  <si>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</si>
  <si>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</si>
  <si>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</si>
  <si>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</si>
  <si>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</si>
  <si>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</si>
  <si>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</si>
  <si>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</si>
  <si>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</si>
  <si>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</si>
  <si>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Year 1</t>
  </si>
  <si>
    <t>WhatsApp Costs</t>
  </si>
  <si>
    <t>WhatsApp</t>
  </si>
  <si>
    <t>Parameter</t>
  </si>
  <si>
    <t>Value</t>
  </si>
  <si>
    <t>Unit</t>
  </si>
  <si>
    <t>WhatsApp Messages</t>
  </si>
  <si>
    <t>Link</t>
  </si>
  <si>
    <t>1. Volume and logistics cost</t>
  </si>
  <si>
    <t>Valmo orders per day</t>
  </si>
  <si>
    <t>orders/day</t>
  </si>
  <si>
    <t>COD share of orders</t>
  </si>
  <si>
    <t>%</t>
  </si>
  <si>
    <t>Open source ↗</t>
  </si>
  <si>
    <t>Service-provider Markup</t>
  </si>
  <si>
    <t>SMS</t>
  </si>
  <si>
    <t>SMS Costs</t>
  </si>
  <si>
    <t>RTO rate on COD orders (today)</t>
  </si>
  <si>
    <t>IVR Call</t>
  </si>
  <si>
    <t>IVR Costs</t>
  </si>
  <si>
    <t>Forward cost already spent when an order fails (spent by seller)</t>
  </si>
  <si>
    <t>₹/order</t>
  </si>
  <si>
    <t>Total Cost Avoided</t>
  </si>
  <si>
    <t>Reverse logistics cost per RTO</t>
  </si>
  <si>
    <t>Days per year</t>
  </si>
  <si>
    <t>days</t>
  </si>
  <si>
    <t>MESSAGE COST</t>
  </si>
  <si>
    <t>2. Re-basing D2C benchmarks to Meesho's customers</t>
  </si>
  <si>
    <t>No. of orders below Tier-3 for general E-Commerce</t>
  </si>
  <si>
    <t>Shared &amp; Setup Costs</t>
  </si>
  <si>
    <t>COD orders per day (live)</t>
  </si>
  <si>
    <t>WHATSAPP (all COD orders)</t>
  </si>
  <si>
    <t>Meesho tier-3-and-below share of orders</t>
  </si>
  <si>
    <t>RTOs prevented per day at full scale</t>
  </si>
  <si>
    <t>Small-town vs city messaging reach ratio</t>
  </si>
  <si>
    <t>x</t>
  </si>
  <si>
    <t>WhatsApp confirm-response rate in D2C benchmarks</t>
  </si>
  <si>
    <t>Net Savings and Payback</t>
  </si>
  <si>
    <t>Total Cost</t>
  </si>
  <si>
    <t>Share of savings realised this month</t>
  </si>
  <si>
    <t>Billed messages per order (confirmation + acknowledgement)</t>
  </si>
  <si>
    <t>Average COD RTO in D2C benchmarks</t>
  </si>
  <si>
    <t>Cost Avoided</t>
  </si>
  <si>
    <t>First-time-buyer COD RTO in D2C benchmarks</t>
  </si>
  <si>
    <t>Intent-driven share of RTOs in D2C benchmarks</t>
  </si>
  <si>
    <t>Intent-driven share of RTOs at Valmo</t>
  </si>
  <si>
    <t>Net Savings</t>
  </si>
  <si>
    <t>Days in month</t>
  </si>
  <si>
    <t>Cumulative Net Savings</t>
  </si>
  <si>
    <t>3. Flow, targeting and behaviour (Meesho-adjusted)</t>
  </si>
  <si>
    <t>Flow</t>
  </si>
  <si>
    <t>WhatsApp to all COD orders → SMS (reply YES/NO) to non-responders → IVR only for high-risk orders still silent</t>
  </si>
  <si>
    <t>Investment Paid Back?</t>
  </si>
  <si>
    <t>Share of COD orders flagged high-risk (IVR-eligible) (RTO Value v/s No. of orders)</t>
  </si>
  <si>
    <t>Key Ratios</t>
  </si>
  <si>
    <t>No. of RTOs prevented</t>
  </si>
  <si>
    <t>WhatsApp confirm-response rate (Meesho)</t>
  </si>
  <si>
    <t>Share of COD orders live</t>
  </si>
  <si>
    <t>Risk multiple of flagged customers</t>
  </si>
  <si>
    <t>Saving per RTO prevented (reverse cost)</t>
  </si>
  <si>
    <t>RTO rate among flagged orders (Meesho)</t>
  </si>
  <si>
    <t>Cost Avoided per ₹1 spent</t>
  </si>
  <si>
    <t>No. of messages</t>
  </si>
  <si>
    <t>RTO rate among non-flagged orders (Meesho)</t>
  </si>
  <si>
    <t>SMS reply rate (among WhatsApp non-responders)</t>
  </si>
  <si>
    <t>RTOs prevented</t>
  </si>
  <si>
    <t>IVR answer rate per call attempt</t>
  </si>
  <si>
    <t>Cost per message (Meta utility rate)</t>
  </si>
  <si>
    <t>SMS (WhatsApp non-responders)</t>
  </si>
  <si>
    <t>Max IVR attempts per order</t>
  </si>
  <si>
    <t>calls</t>
  </si>
  <si>
    <t>Cancel rate among reached would-be RTOs in D2C benchmarks</t>
  </si>
  <si>
    <t>Cancel rate among reached would-be RTOs (Meesho)</t>
  </si>
  <si>
    <t>Genuine-order loss rate among flagged orders</t>
  </si>
  <si>
    <t>Contribution lost per lost genuine order</t>
  </si>
  <si>
    <t>SERVICE-PROVIDER (BSP) MARKUP</t>
  </si>
  <si>
    <t>1-attempt RTO rule applies to: 1 = every failed first attempt, 0 = doorstep refusals only</t>
  </si>
  <si>
    <t>switch</t>
  </si>
  <si>
    <t>Share of those orders delivered only on a re-attempt</t>
  </si>
  <si>
    <t>Flagged orders that contact customer support</t>
  </si>
  <si>
    <t>Cost per customer-support contact</t>
  </si>
  <si>
    <t>₹/contact</t>
  </si>
  <si>
    <t>Message cost</t>
  </si>
  <si>
    <t>Days from order to when the RTO would have happened</t>
  </si>
  <si>
    <t>4. Messaging and telephony prices</t>
  </si>
  <si>
    <t>Markup</t>
  </si>
  <si>
    <t>WhatsApp utility message (Meta rate, India)</t>
  </si>
  <si>
    <t>₹/msg</t>
  </si>
  <si>
    <t>WhatsApp confirmation templates per COD order (Utility/Service)</t>
  </si>
  <si>
    <t>msgs</t>
  </si>
  <si>
    <t>Billed follow-up messages per WhatsApp reply</t>
  </si>
  <si>
    <t>WhatsApp service-provider (BSP) markup</t>
  </si>
  <si>
    <t>% of Meta rate</t>
  </si>
  <si>
    <t>Transactional SMS price (DLT route)</t>
  </si>
  <si>
    <t>₹/SMS</t>
  </si>
  <si>
    <t>Incoming SMS reply (long code)</t>
  </si>
  <si>
    <t>Dedicated long code (two-way SMS number) rental</t>
  </si>
  <si>
    <t>₹/month</t>
  </si>
  <si>
    <t>Long code one-time setup</t>
  </si>
  <si>
    <t>₹ one-time</t>
  </si>
  <si>
    <t>Outbound call price (Plivo India)</t>
  </si>
  <si>
    <t>₹/min</t>
  </si>
  <si>
    <t>IVR CALL (high-risk, still silent)</t>
  </si>
  <si>
    <t>Billing pulse</t>
  </si>
  <si>
    <t>seconds</t>
  </si>
  <si>
    <t>IVR call length (script + keypress)</t>
  </si>
  <si>
    <t>Phone numbers (lines) at full scale</t>
  </si>
  <si>
    <t>numbers</t>
  </si>
  <si>
    <t>Phone number rental</t>
  </si>
  <si>
    <t>₹/number/month</t>
  </si>
  <si>
    <t>DLT registration (SMS templates + voice)</t>
  </si>
  <si>
    <t>₹/operator/yr</t>
  </si>
  <si>
    <t>Telecom operators to register with</t>
  </si>
  <si>
    <t>operators</t>
  </si>
  <si>
    <t>GST on vendor bills</t>
  </si>
  <si>
    <t>cost</t>
  </si>
  <si>
    <t>5. Cloud, data storage and monitoring (AWS Mumbai rates)</t>
  </si>
  <si>
    <t>Server price: m6i.xlarge (4 vCPU, 16 GB)</t>
  </si>
  <si>
    <t>Servers for scoring, order-hold and message/call orchestration</t>
  </si>
  <si>
    <t>servers</t>
  </si>
  <si>
    <t>Risk-score database node: r6i.xlarge (32 GB RAM)</t>
  </si>
  <si>
    <t>Database nodes (primary + replica)</t>
  </si>
  <si>
    <t>nodes</t>
  </si>
  <si>
    <t>Call recording size</t>
  </si>
  <si>
    <t>KB/call</t>
  </si>
  <si>
    <t>Consent + event log per COD order</t>
  </si>
  <si>
    <t>KB/order</t>
  </si>
  <si>
    <t>Data retention</t>
  </si>
  <si>
    <t>Cloud storage price (S3 Standard)</t>
  </si>
  <si>
    <t>₹/GB/month</t>
  </si>
  <si>
    <t>Servers for logging, dashboards and alerting</t>
  </si>
  <si>
    <t>6. People</t>
  </si>
  <si>
    <t>Salaries of build, maintenance and ops staff</t>
  </si>
  <si>
    <t>₹</t>
  </si>
  <si>
    <t>7. One-time (paid at M0), compliance and contingency</t>
  </si>
  <si>
    <t>Message / IVR languages</t>
  </si>
  <si>
    <t>languages</t>
  </si>
  <si>
    <t>Script translation per language</t>
  </si>
  <si>
    <t>₹/language</t>
  </si>
  <si>
    <t>Legal review: DPDP consent, TRAI rules</t>
  </si>
  <si>
    <t>Integration and load testing</t>
  </si>
  <si>
    <t>Annual compliance audit</t>
  </si>
  <si>
    <t>₹/yr</t>
  </si>
  <si>
    <t>Contingency on all costs</t>
  </si>
  <si>
    <t>8. Rollout (build done at M0; pilot starts M1)</t>
  </si>
  <si>
    <t>Pilot months</t>
  </si>
  <si>
    <t>months</t>
  </si>
  <si>
    <t>Pilot share of COD volume</t>
  </si>
  <si>
    <t>Ramp month 1 share</t>
  </si>
  <si>
    <t>Ramp month 2 share</t>
  </si>
  <si>
    <t>9. Derived (full scale, per day; formulas, do not edit)</t>
  </si>
  <si>
    <t>COD orders (all get WhatsApp)</t>
  </si>
  <si>
    <t>High-risk (flagged) COD orders</t>
  </si>
  <si>
    <t>SMS sent (WhatsApp non-responders)</t>
  </si>
  <si>
    <t>SMS/day</t>
  </si>
  <si>
    <t>SMS replies received</t>
  </si>
  <si>
    <t>Orders sent to IVR (flagged, still silent)</t>
  </si>
  <si>
    <t>IVR reach within 2 attempts</t>
  </si>
  <si>
    <t>Total Costs: SMS to WhatsApp non-responders</t>
  </si>
  <si>
    <t>Reach, non-flagged orders (WhatsApp + SMS)</t>
  </si>
  <si>
    <t>SMS Sent</t>
  </si>
  <si>
    <t>Reach, flagged orders (WhatsApp + SMS + IVR)</t>
  </si>
  <si>
    <t>RTOs prevented via WhatsApp</t>
  </si>
  <si>
    <t>SMS Replies Received</t>
  </si>
  <si>
    <t>RTOs/day</t>
  </si>
  <si>
    <t>RTOs prevented via SMS</t>
  </si>
  <si>
    <t>Two-way Number Rental</t>
  </si>
  <si>
    <t>RTOs prevented via IVR</t>
  </si>
  <si>
    <t>Two-way Number Setup</t>
  </si>
  <si>
    <t>RTOs prevented, total</t>
  </si>
  <si>
    <t>Saving per RTO prevented</t>
  </si>
  <si>
    <t>₹/RTO</t>
  </si>
  <si>
    <t>IVR calls answered (billed)</t>
  </si>
  <si>
    <t>SMS SENT</t>
  </si>
  <si>
    <t>calls/day</t>
  </si>
  <si>
    <t>Cost per answered call</t>
  </si>
  <si>
    <t>SMS sent per day (live)</t>
  </si>
  <si>
    <t>₹/call</t>
  </si>
  <si>
    <t>Genuine flagged orders lost to friction</t>
  </si>
  <si>
    <t>Flagged orders shipped with no response</t>
  </si>
  <si>
    <t>Genuine orders turned into RTO by the 1-attempt rule</t>
  </si>
  <si>
    <t>Data stored (steady state)</t>
  </si>
  <si>
    <t>GB</t>
  </si>
  <si>
    <t>COD RTO rate after (full scale)</t>
  </si>
  <si>
    <t>No. of SMS</t>
  </si>
  <si>
    <t>Cost per SMS (DLT transactional)</t>
  </si>
  <si>
    <t>SMS REPLIES RECEIVED</t>
  </si>
  <si>
    <t>Replies per day (live)</t>
  </si>
  <si>
    <t>Total Costs: IVR call (high-risk orders still silent)</t>
  </si>
  <si>
    <t>Call Charges</t>
  </si>
  <si>
    <t>Phone Line Rental</t>
  </si>
  <si>
    <t>No. of replies</t>
  </si>
  <si>
    <t>CALL CHARGES</t>
  </si>
  <si>
    <t>Cost per incoming SMS (long code)</t>
  </si>
  <si>
    <t>Orders sent to IVR per day (live)</t>
  </si>
  <si>
    <t>Total Costs: shared platform, customer impact and setup</t>
  </si>
  <si>
    <t>Cloud Servers</t>
  </si>
  <si>
    <t>TWO-WAY SMS NUMBER (LONG CODE)</t>
  </si>
  <si>
    <t>Monthly rental (from M1)</t>
  </si>
  <si>
    <t>Risk-score Database</t>
  </si>
  <si>
    <t>Reach within 2 attempts</t>
  </si>
  <si>
    <t>Data Storage</t>
  </si>
  <si>
    <t>One-time setup (M0)</t>
  </si>
  <si>
    <t>Logging &amp; Dashboards</t>
  </si>
  <si>
    <t>Customer-support Contacts</t>
  </si>
  <si>
    <t>No. of answered (billed) calls</t>
  </si>
  <si>
    <t>Genuine Orders Lost</t>
  </si>
  <si>
    <t>DLT Registration</t>
  </si>
  <si>
    <t>Cost per answered call (60 s, Plivo)</t>
  </si>
  <si>
    <t>Script Translation</t>
  </si>
  <si>
    <t>Legal Review</t>
  </si>
  <si>
    <t>Integration &amp; Testing</t>
  </si>
  <si>
    <t>Compliance Audit</t>
  </si>
  <si>
    <t>Contingency (10% of all costs)</t>
  </si>
  <si>
    <t>PHONE LINES</t>
  </si>
  <si>
    <t>No. of lines (scaled with rollout)</t>
  </si>
  <si>
    <t>Rental per line per month</t>
  </si>
  <si>
    <t>CUSTOMER-SUPPORT CONTACTS</t>
  </si>
  <si>
    <t>High-risk COD orders per day (live)</t>
  </si>
  <si>
    <t>Share who contact support</t>
  </si>
  <si>
    <t>Cost-Savings Investment &amp; Payback (Year 1): WhatsApp → SMS → IVR COD confirmation for Valmo</t>
  </si>
  <si>
    <t>The programme earns no revenue: it is an investment that avoids logistics cost on RTOs. Payback = the month cumulative cost avoided covers everything spent (setup + running). All figures in ₹, conservative case, Meesho-adjusted inputs from the Assumptions sheet (gold = guesstimate). GST excluded (input tax credit).</t>
  </si>
  <si>
    <t>Year 1 at a glance</t>
  </si>
  <si>
    <t>Upfront investment (M0)</t>
  </si>
  <si>
    <t>Payback month</t>
  </si>
  <si>
    <t>Peak cash outlay before payback</t>
  </si>
  <si>
    <t>Year-1 cost avoided</t>
  </si>
  <si>
    <t>Year-1 total spend</t>
  </si>
  <si>
    <t>Year-1 net savings</t>
  </si>
  <si>
    <t>No. of contacts</t>
  </si>
  <si>
    <t>Risk</t>
  </si>
  <si>
    <t>Cost avoided per ₹1 spent</t>
  </si>
  <si>
    <t>Return on investment (net ÷ spend)</t>
  </si>
  <si>
    <t>Impact</t>
  </si>
  <si>
    <t>Probability</t>
  </si>
  <si>
    <t>RTOs prevented in Year 1</t>
  </si>
  <si>
    <t>Guardrail</t>
  </si>
  <si>
    <t>COD RTO rate at full scale</t>
  </si>
  <si>
    <t>Customer does not respond to WhatsApp, SMS or IVR</t>
  </si>
  <si>
    <t>Monthly net savings at full scale (M12)</t>
  </si>
  <si>
    <t>High</t>
  </si>
  <si>
    <t>Cancel rate needed to cover Year-1 spend</t>
  </si>
  <si>
    <t>Treat non-response as inconclusive, not as cancellation. Allow low-risk orders to proceed normally and tag high-risk orders for monitoring.</t>
  </si>
  <si>
    <t>Customer confirms but refuses delivery later</t>
  </si>
  <si>
    <t>Medium</t>
  </si>
  <si>
    <t>Treat confirmation as an indication of current intent, not a delivery guarantee. Track confirmed orders subsequently refused and recalibrate the process.</t>
  </si>
  <si>
    <t>Customer mistakes IVR call for a scam</t>
  </si>
  <si>
    <t>Use registered caller IDs, consistent branding and an in-app explanation. Never request OTPs, payments or sensitive credentials.</t>
  </si>
  <si>
    <t>Cost per contact</t>
  </si>
  <si>
    <t>Customer intent changes between confirmation and delivery</t>
  </si>
  <si>
    <t>Keep a reasonable time gap between confirmation and dispatch. Consider a reminder closer to delivery for high-risk orders.</t>
  </si>
  <si>
    <t>Customer accidentally confirms or cancels an order</t>
  </si>
  <si>
    <t>Low</t>
  </si>
  <si>
    <t>Use clear confirmation buttons and a randomized IVR key. Provide an undo option for accidental cancellations.</t>
  </si>
  <si>
    <t>Rollout</t>
  </si>
  <si>
    <t>Rollout: build finished at M0, pilot from M1 (share of Valmo COD orders going through the flow)</t>
  </si>
  <si>
    <t>M0 (setup)</t>
  </si>
  <si>
    <t>Year 1 total</t>
  </si>
  <si>
    <t>Share of COD orders live (rollout plan)</t>
  </si>
  <si>
    <t>GENUINE ORDERS LOST</t>
  </si>
  <si>
    <t>Genuine orders lost per day (live)</t>
  </si>
  <si>
    <t>KPI</t>
  </si>
  <si>
    <t>Formula</t>
  </si>
  <si>
    <t>What it tells</t>
  </si>
  <si>
    <t>RTO Rate</t>
  </si>
  <si>
    <t>Total RTO Orders ÷ Total Orders × 100</t>
  </si>
  <si>
    <t>Overall scale of the RTO problem</t>
  </si>
  <si>
    <t>RTO Rate Among Non-responders</t>
  </si>
  <si>
    <t>RTO Orders Among Non-responders ÷ Total Non-responding Orders × 100</t>
  </si>
  <si>
    <t>Whether the risk-based treatment of silent customers is appropriate</t>
  </si>
  <si>
    <t>RTO Rate Among Confirmed Orders</t>
  </si>
  <si>
    <t>RTO Orders Among Confirmed Orders ÷ Total Confirmed Orders × 100</t>
  </si>
  <si>
    <t>Reliability of confirmation as an indicator of delivery intent</t>
  </si>
  <si>
    <t>Prevented RTOs</t>
  </si>
  <si>
    <t>Orders that would have reached RTO but were successfully delivered/cancelled after intervention</t>
  </si>
  <si>
    <t>Direct number of RTOs prevented by the solution</t>
  </si>
  <si>
    <t>ROI</t>
  </si>
  <si>
    <t>(Net Savings ÷ Total Solution Cost) × 100</t>
  </si>
  <si>
    <t>Percentage return on investment</t>
  </si>
  <si>
    <t>Time to Confirmation</t>
  </si>
  <si>
    <t>Median Time Between Initial Message and Customer Response</t>
  </si>
  <si>
    <t>Speed of the process and its impact on dispatch timelines</t>
  </si>
  <si>
    <t>WhatsApp Response Rate</t>
  </si>
  <si>
    <t>Unique Customers Responding on WhatsApp ÷ WhatsApp Messages Delivered × 100</t>
  </si>
  <si>
    <t>Effectiveness of WhatsApp in obtaining customer responses</t>
  </si>
  <si>
    <t>SMS Response Rate</t>
  </si>
  <si>
    <t>Unique Customers Responding to SMS ÷ SMS Messages Delivered × 100</t>
  </si>
  <si>
    <t>Effectiveness of SMS in recovering WhatsApp non-responders</t>
  </si>
  <si>
    <t>IVR Answer Rate</t>
  </si>
  <si>
    <t>Answered IVR Calls ÷ Total IVR Call Attempts × 100</t>
  </si>
  <si>
    <t>Reachability of customers through voice calls</t>
  </si>
  <si>
    <t>Share of savings realised (13-day RTO lag)</t>
  </si>
  <si>
    <t>No. of orders lost</t>
  </si>
  <si>
    <t>Contribution lost per order</t>
  </si>
  <si>
    <t>PLATFORM (from M1)</t>
  </si>
  <si>
    <t>Cloud servers (no. x monthly price)</t>
  </si>
  <si>
    <t>Logistics cost avoided: ₹120 per RTO prevented</t>
  </si>
  <si>
    <t>RTOs prevented (orders)</t>
  </si>
  <si>
    <t>Risk-score database (nodes x monthly price)</t>
  </si>
  <si>
    <t>Via WhatsApp (all COD orders)</t>
  </si>
  <si>
    <t>Data storage (GB x price, scaled with rollout)</t>
  </si>
  <si>
    <t>Via SMS (WhatsApp non-responders)</t>
  </si>
  <si>
    <t>Logging &amp; dashboards (servers x price)</t>
  </si>
  <si>
    <t>Via IVR call (high-risk, still silent)</t>
  </si>
  <si>
    <t>ONE-TIME SETUP (M0) AND COMPLIANCE</t>
  </si>
  <si>
    <t>DLT registration (4 operators)</t>
  </si>
  <si>
    <t>Running Costs</t>
  </si>
  <si>
    <t>Monthly running costs (from M1)</t>
  </si>
  <si>
    <t>Component</t>
  </si>
  <si>
    <t>WhatsApp messages: confirmation + acknowledgement</t>
  </si>
  <si>
    <t>Script translation (all languages)</t>
  </si>
  <si>
    <t>Legal review (DPDP + TRAI)</t>
  </si>
  <si>
    <t>Integration &amp; load testing</t>
  </si>
  <si>
    <t>Annual compliance audit (M12)</t>
  </si>
  <si>
    <t>WhatsApp service-provider markup</t>
  </si>
  <si>
    <t>SMS sent to WhatsApp non-responders</t>
  </si>
  <si>
    <t>SMS replies received (long code)</t>
  </si>
  <si>
    <t>IVR call charges (Plivo)</t>
  </si>
  <si>
    <t>Customer-support contacts</t>
  </si>
  <si>
    <t>Genuine orders lost (friction)</t>
  </si>
  <si>
    <t>1-attempt RTO rule: genuine orders turned into RTO</t>
  </si>
  <si>
    <t>Phone number rental (Plivo)</t>
  </si>
  <si>
    <t>Two-way SMS number (long code) rental</t>
  </si>
  <si>
    <t>Cloud servers: scoring + orchestration</t>
  </si>
  <si>
    <t>Risk-score database</t>
  </si>
  <si>
    <t>Data storage: recordings + consent logs</t>
  </si>
  <si>
    <t>Logging, dashboards and alerting</t>
  </si>
  <si>
    <t>Annual compliance audit (paid M12)</t>
  </si>
  <si>
    <t>Contingency (10% of all other costs)</t>
  </si>
  <si>
    <t>Total Running Costs</t>
  </si>
  <si>
    <t>Investment</t>
  </si>
  <si>
    <t>One-time investment (all paid at M0, before the pilot)</t>
  </si>
  <si>
    <t>DLT registration (4 operators, first year)</t>
  </si>
  <si>
    <t>Two-way SMS number (long code) setup</t>
  </si>
  <si>
    <t>Legal review: DPDP consent + TRAI rules</t>
  </si>
  <si>
    <t>Total Investment</t>
  </si>
  <si>
    <t>Net Savings &amp; Payback</t>
  </si>
  <si>
    <t>Net savings and payback</t>
  </si>
  <si>
    <t>Cost avoided</t>
  </si>
  <si>
    <t>Total spend (running + investment)</t>
  </si>
  <si>
    <t>Net savings</t>
  </si>
  <si>
    <t>Cumulative net savings</t>
  </si>
  <si>
    <t>Investment paid back?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</si>
</sst>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₹]#,##0"/>
    <numFmt numFmtId="165" formatCode="0.0%"/>
    <numFmt numFmtId="166" formatCode="\₹#,##0;&quot;-₹&quot;#,##0"/>
    <numFmt numFmtId="167" formatCode="0.000"/>
    <numFmt numFmtId="168" formatCode="0.0"/>
    <numFmt numFmtId="169" formatCode="0.00\x"/>
    <numFmt numFmtId="170" formatCode="[$₹]0.0"/>
    <numFmt numFmtId="171" formatCode="[$₹]#,##0.000"/>
    <numFmt numFmtId="172" formatCode="\₹#,##0.00"/>
    <numFmt numFmtId="173" formatCode="\₹#,##0.000"/>
    <numFmt numFmtId="174" formatCode="[$₹]#,##0.00"/>
    <numFmt numFmtId="175" formatCode="\₹0.0"/>
  </numFmts>
  <fonts count="26">
    <font>
      <sz val="11.0"/>
      <color theme="1"/>
      <name val="Arial"/>
      <scheme val="minor"/>
    </font>
    <font>
      <b/>
      <sz val="16.0"/>
      <color theme="1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u/>
      <sz val="9.0"/>
      <color rgb="FF0000FF"/>
      <name val="Arial"/>
    </font>
    <font>
      <b/>
      <sz val="8.0"/>
      <color theme="1"/>
      <name val="Arial"/>
    </font>
    <font>
      <b/>
      <sz val="15.0"/>
      <color rgb="FFFFFFFF"/>
      <name val="Arial"/>
    </font>
    <font>
      <i/>
      <sz val="9.0"/>
      <color rgb="FF595959"/>
      <name val="Arial"/>
    </font>
    <font>
      <b/>
      <sz val="13.0"/>
      <color rgb="FFFFFFFF"/>
      <name val="Arial"/>
    </font>
    <font>
      <b/>
      <sz val="9.0"/>
      <color rgb="FF4A1942"/>
      <name val="Arial"/>
    </font>
    <font>
      <b/>
      <sz val="13.0"/>
      <color rgb="FF4A1942"/>
      <name val="Arial"/>
    </font>
    <font>
      <b/>
      <sz val="13.0"/>
      <color rgb="FF00803C"/>
      <name val="Arial"/>
    </font>
    <font>
      <b/>
      <sz val="11.0"/>
      <color theme="1"/>
      <name val="Calibri"/>
    </font>
    <font>
      <color theme="1"/>
      <name val="Calibri"/>
    </font>
    <font>
      <color theme="1"/>
      <name val="Arial"/>
      <scheme val="minor"/>
    </font>
    <font>
      <b/>
      <sz val="11.0"/>
      <color rgb="FFF39C12"/>
      <name val="Arial"/>
    </font>
    <font>
      <b/>
      <sz val="11.0"/>
      <color rgb="FF4A1942"/>
      <name val="Arial"/>
    </font>
    <font>
      <b/>
      <sz val="10.0"/>
      <color rgb="FF4A1942"/>
      <name val="Arial"/>
    </font>
    <font>
      <sz val="10.0"/>
      <color rgb="FF000000"/>
      <name val="Arial"/>
    </font>
    <font>
      <b/>
      <sz val="10.0"/>
      <color rgb="FF000000"/>
      <name val="Arial"/>
    </font>
    <font>
      <i/>
      <sz val="10.0"/>
      <color rgb="FF7F7F7F"/>
      <name val="Arial"/>
    </font>
    <font>
      <b/>
      <i/>
      <sz val="10.0"/>
      <color rgb="FF7F7F7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4A1942"/>
        <bgColor rgb="FF4A1942"/>
      </patternFill>
    </fill>
    <fill>
      <patternFill patternType="solid">
        <fgColor rgb="FFF5E6CC"/>
        <bgColor rgb="FFF5E6CC"/>
      </patternFill>
    </fill>
    <fill>
      <patternFill patternType="solid">
        <fgColor rgb="FFFBF3E6"/>
        <bgColor rgb="FFFBF3E6"/>
      </patternFill>
    </fill>
    <fill>
      <patternFill patternType="solid">
        <fgColor rgb="FFF4CCCC"/>
        <bgColor rgb="FFF4CCCC"/>
      </patternFill>
    </fill>
    <fill>
      <patternFill patternType="solid">
        <fgColor rgb="FFF7D7A0"/>
        <bgColor rgb="FFF7D7A0"/>
      </patternFill>
    </fill>
    <fill>
      <patternFill patternType="solid">
        <fgColor rgb="FFEED9B7"/>
        <bgColor rgb="FFEED9B7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  <bottom/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4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shrinkToFit="0" vertical="center" wrapText="0"/>
    </xf>
    <xf borderId="4" fillId="0" fontId="6" numFmtId="164" xfId="0" applyAlignment="1" applyBorder="1" applyFont="1" applyNumberFormat="1">
      <alignment horizontal="center" shrinkToFit="0" vertical="bottom" wrapText="0"/>
    </xf>
    <xf borderId="4" fillId="0" fontId="6" numFmtId="0" xfId="0" applyAlignment="1" applyBorder="1" applyFont="1">
      <alignment shrinkToFit="0" vertical="center" wrapText="1"/>
    </xf>
    <xf borderId="4" fillId="0" fontId="4" numFmtId="3" xfId="0" applyAlignment="1" applyBorder="1" applyFont="1" applyNumberFormat="1">
      <alignment horizontal="right" shrinkToFit="0" vertical="center" wrapText="0"/>
    </xf>
    <xf borderId="4" fillId="0" fontId="7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4" numFmtId="165" xfId="0" applyAlignment="1" applyBorder="1" applyFont="1" applyNumberFormat="1">
      <alignment horizontal="right" shrinkToFit="0" vertical="center" wrapText="0"/>
    </xf>
    <xf borderId="4" fillId="0" fontId="4" numFmtId="164" xfId="0" applyAlignment="1" applyBorder="1" applyFont="1" applyNumberFormat="1">
      <alignment horizontal="center" shrinkToFit="0" vertical="bottom" wrapText="0"/>
    </xf>
    <xf borderId="4" fillId="0" fontId="8" numFmtId="0" xfId="0" applyAlignment="1" applyBorder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bottom" wrapText="1"/>
    </xf>
    <xf borderId="4" fillId="4" fontId="4" numFmtId="164" xfId="0" applyAlignment="1" applyBorder="1" applyFill="1" applyFont="1" applyNumberFormat="1">
      <alignment horizontal="center" shrinkToFit="0" vertical="bottom" wrapText="0"/>
    </xf>
    <xf borderId="4" fillId="0" fontId="6" numFmtId="0" xfId="0" applyAlignment="1" applyBorder="1" applyFont="1">
      <alignment readingOrder="0" shrinkToFit="0" vertical="center" wrapText="1"/>
    </xf>
    <xf borderId="4" fillId="0" fontId="4" numFmtId="166" xfId="0" applyAlignment="1" applyBorder="1" applyFont="1" applyNumberFormat="1">
      <alignment horizontal="right" shrinkToFit="0" vertical="center" wrapText="0"/>
    </xf>
    <xf borderId="4" fillId="0" fontId="4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4" fillId="0" fontId="6" numFmtId="3" xfId="0" applyAlignment="1" applyBorder="1" applyFont="1" applyNumberFormat="1">
      <alignment horizontal="center" shrinkToFit="0" vertical="bottom" wrapText="0"/>
    </xf>
    <xf borderId="4" fillId="0" fontId="4" numFmtId="167" xfId="0" applyAlignment="1" applyBorder="1" applyFont="1" applyNumberFormat="1">
      <alignment horizontal="right" shrinkToFit="0" vertical="center" wrapText="0"/>
    </xf>
    <xf borderId="4" fillId="0" fontId="4" numFmtId="3" xfId="0" applyAlignment="1" applyBorder="1" applyFont="1" applyNumberFormat="1">
      <alignment horizontal="center" shrinkToFit="0" vertical="bottom" wrapText="0"/>
    </xf>
    <xf borderId="4" fillId="0" fontId="6" numFmtId="165" xfId="0" applyAlignment="1" applyBorder="1" applyFont="1" applyNumberFormat="1">
      <alignment horizontal="center" shrinkToFit="0" vertical="bottom" wrapText="0"/>
    </xf>
    <xf borderId="4" fillId="0" fontId="6" numFmtId="2" xfId="0" applyAlignment="1" applyBorder="1" applyFont="1" applyNumberFormat="1">
      <alignment horizontal="center" shrinkToFit="0" vertical="bottom" wrapText="0"/>
    </xf>
    <xf borderId="4" fillId="0" fontId="4" numFmtId="165" xfId="0" applyAlignment="1" applyBorder="1" applyFont="1" applyNumberFormat="1">
      <alignment horizontal="center" shrinkToFit="0" vertical="bottom" wrapText="0"/>
    </xf>
    <xf borderId="4" fillId="0" fontId="6" numFmtId="168" xfId="0" applyAlignment="1" applyBorder="1" applyFont="1" applyNumberFormat="1">
      <alignment horizontal="center" shrinkToFit="0" vertical="bottom" wrapText="0"/>
    </xf>
    <xf borderId="1" fillId="0" fontId="9" numFmtId="0" xfId="0" applyAlignment="1" applyBorder="1" applyFont="1">
      <alignment horizontal="left" shrinkToFit="0" vertical="center" wrapText="1"/>
    </xf>
    <xf borderId="4" fillId="0" fontId="4" numFmtId="2" xfId="0" applyAlignment="1" applyBorder="1" applyFont="1" applyNumberFormat="1">
      <alignment horizontal="center" shrinkToFit="0" vertical="bottom" wrapText="0"/>
    </xf>
    <xf borderId="4" fillId="0" fontId="6" numFmtId="49" xfId="0" applyAlignment="1" applyBorder="1" applyFont="1" applyNumberFormat="1">
      <alignment horizontal="center" shrinkToFit="0" vertical="bottom" wrapText="0"/>
    </xf>
    <xf borderId="4" fillId="0" fontId="4" numFmtId="49" xfId="0" applyAlignment="1" applyBorder="1" applyFont="1" applyNumberFormat="1">
      <alignment horizontal="center" shrinkToFit="0" vertical="bottom" wrapText="0"/>
    </xf>
    <xf borderId="4" fillId="0" fontId="4" numFmtId="168" xfId="0" applyAlignment="1" applyBorder="1" applyFont="1" applyNumberFormat="1">
      <alignment horizontal="center" shrinkToFit="0" vertical="bottom" wrapText="0"/>
    </xf>
    <xf borderId="4" fillId="0" fontId="6" numFmtId="9" xfId="0" applyAlignment="1" applyBorder="1" applyFont="1" applyNumberFormat="1">
      <alignment horizontal="center" shrinkToFit="0" vertical="bottom" wrapText="0"/>
    </xf>
    <xf borderId="4" fillId="0" fontId="4" numFmtId="169" xfId="0" applyAlignment="1" applyBorder="1" applyFont="1" applyNumberFormat="1">
      <alignment horizontal="right" shrinkToFit="0" vertical="center" wrapText="0"/>
    </xf>
    <xf borderId="4" fillId="0" fontId="4" numFmtId="9" xfId="0" applyAlignment="1" applyBorder="1" applyFont="1" applyNumberFormat="1">
      <alignment horizontal="center" shrinkToFit="0" vertical="bottom" wrapText="0"/>
    </xf>
    <xf borderId="4" fillId="0" fontId="6" numFmtId="170" xfId="0" applyAlignment="1" applyBorder="1" applyFont="1" applyNumberFormat="1">
      <alignment horizontal="center" shrinkToFit="0" vertical="bottom" wrapText="0"/>
    </xf>
    <xf borderId="4" fillId="4" fontId="6" numFmtId="164" xfId="0" applyAlignment="1" applyBorder="1" applyFill="1" applyFont="1" applyNumberFormat="1">
      <alignment horizontal="center" shrinkToFit="0" vertical="bottom" wrapText="0"/>
    </xf>
    <xf borderId="4" fillId="0" fontId="4" numFmtId="170" xfId="0" applyAlignment="1" applyBorder="1" applyFont="1" applyNumberFormat="1">
      <alignment horizontal="center" shrinkToFit="0" vertical="bottom" wrapText="0"/>
    </xf>
    <xf borderId="4" fillId="0" fontId="6" numFmtId="171" xfId="0" applyAlignment="1" applyBorder="1" applyFont="1" applyNumberFormat="1">
      <alignment horizontal="center" shrinkToFit="0" vertical="bottom" wrapText="0"/>
    </xf>
    <xf borderId="4" fillId="0" fontId="4" numFmtId="1" xfId="0" applyAlignment="1" applyBorder="1" applyFont="1" applyNumberFormat="1">
      <alignment horizontal="right" shrinkToFit="0" vertical="center" wrapText="0"/>
    </xf>
    <xf borderId="4" fillId="0" fontId="4" numFmtId="171" xfId="0" applyAlignment="1" applyBorder="1" applyFont="1" applyNumberFormat="1">
      <alignment horizontal="center" shrinkToFit="0" vertical="bottom" wrapText="0"/>
    </xf>
    <xf borderId="4" fillId="0" fontId="4" numFmtId="172" xfId="0" applyAlignment="1" applyBorder="1" applyFont="1" applyNumberFormat="1">
      <alignment horizontal="right" shrinkToFit="0" vertical="center" wrapText="0"/>
    </xf>
    <xf borderId="4" fillId="0" fontId="4" numFmtId="173" xfId="0" applyAlignment="1" applyBorder="1" applyFont="1" applyNumberFormat="1">
      <alignment horizontal="right" shrinkToFit="0" vertical="center" wrapText="0"/>
    </xf>
    <xf borderId="4" fillId="0" fontId="4" numFmtId="10" xfId="0" applyAlignment="1" applyBorder="1" applyFont="1" applyNumberFormat="1">
      <alignment horizontal="right" shrinkToFit="0" vertical="center" wrapText="0"/>
    </xf>
    <xf borderId="4" fillId="0" fontId="6" numFmtId="174" xfId="0" applyAlignment="1" applyBorder="1" applyFont="1" applyNumberFormat="1">
      <alignment horizontal="center" shrinkToFit="0" vertical="bottom" wrapText="0"/>
    </xf>
    <xf borderId="4" fillId="0" fontId="4" numFmtId="174" xfId="0" applyAlignment="1" applyBorder="1" applyFont="1" applyNumberFormat="1">
      <alignment horizontal="center" shrinkToFit="0" vertical="bottom" wrapText="0"/>
    </xf>
    <xf borderId="4" fillId="3" fontId="4" numFmtId="164" xfId="0" applyAlignment="1" applyBorder="1" applyFill="1" applyFont="1" applyNumberFormat="1">
      <alignment horizontal="center" shrinkToFit="0" vertical="bottom" wrapText="0"/>
    </xf>
    <xf borderId="5" fillId="5" fontId="10" numFmtId="0" xfId="0" applyAlignment="1" applyBorder="1" applyFill="1" applyFont="1">
      <alignment horizontal="left" shrinkToFit="0" vertical="center" wrapText="0"/>
    </xf>
    <xf borderId="6" fillId="0" fontId="3" numFmtId="0" xfId="0" applyBorder="1" applyFont="1"/>
    <xf borderId="7" fillId="0" fontId="3" numFmtId="0" xfId="0" applyBorder="1" applyFont="1"/>
    <xf borderId="0" fillId="0" fontId="11" numFmtId="0" xfId="0" applyAlignment="1" applyFont="1">
      <alignment shrinkToFit="0" vertical="top" wrapText="1"/>
    </xf>
    <xf borderId="8" fillId="5" fontId="12" numFmtId="0" xfId="0" applyAlignment="1" applyBorder="1" applyFill="1" applyFont="1">
      <alignment horizontal="center" shrinkToFit="0" vertical="center" wrapText="1"/>
    </xf>
    <xf borderId="9" fillId="6" fontId="13" numFmtId="0" xfId="0" applyAlignment="1" applyBorder="1" applyFill="1" applyFont="1">
      <alignment horizontal="center" shrinkToFit="0" vertical="bottom" wrapText="1"/>
    </xf>
    <xf borderId="10" fillId="0" fontId="3" numFmtId="0" xfId="0" applyBorder="1" applyFont="1"/>
    <xf borderId="11" fillId="0" fontId="3" numFmtId="0" xfId="0" applyBorder="1" applyFont="1"/>
    <xf borderId="12" fillId="7" fontId="14" numFmtId="166" xfId="0" applyAlignment="1" applyBorder="1" applyFill="1" applyFont="1" applyNumberFormat="1">
      <alignment horizontal="center" shrinkToFit="0" vertical="center" wrapText="0"/>
    </xf>
    <xf borderId="13" fillId="0" fontId="3" numFmtId="0" xfId="0" applyBorder="1" applyFont="1"/>
    <xf borderId="12" fillId="7" fontId="15" numFmtId="49" xfId="0" applyAlignment="1" applyBorder="1" applyFill="1" applyFont="1" applyNumberFormat="1">
      <alignment horizontal="center" shrinkToFit="0" vertical="center" wrapText="0"/>
    </xf>
    <xf borderId="12" fillId="7" fontId="15" numFmtId="166" xfId="0" applyAlignment="1" applyBorder="1" applyFill="1" applyFont="1" applyNumberFormat="1">
      <alignment horizontal="center" shrinkToFit="0" vertical="center" wrapText="0"/>
    </xf>
    <xf borderId="14" fillId="0" fontId="3" numFmtId="0" xfId="0" applyBorder="1" applyFont="1"/>
    <xf borderId="15" fillId="0" fontId="3" numFmtId="0" xfId="0" applyBorder="1" applyFont="1"/>
    <xf borderId="4" fillId="0" fontId="16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8" fontId="5" numFmtId="0" xfId="0" applyAlignment="1" applyBorder="1" applyFill="1" applyFont="1">
      <alignment readingOrder="0" shrinkToFit="0" vertical="center" wrapText="1"/>
    </xf>
    <xf borderId="4" fillId="9" fontId="5" numFmtId="0" xfId="0" applyAlignment="1" applyBorder="1" applyFill="1" applyFont="1">
      <alignment readingOrder="0" shrinkToFit="0" vertical="center" wrapText="1"/>
    </xf>
    <xf borderId="4" fillId="0" fontId="17" numFmtId="0" xfId="0" applyAlignment="1" applyBorder="1" applyFont="1">
      <alignment readingOrder="0" shrinkToFit="0" vertical="center" wrapText="1"/>
    </xf>
    <xf borderId="12" fillId="7" fontId="14" numFmtId="175" xfId="0" applyAlignment="1" applyBorder="1" applyFill="1" applyFont="1" applyNumberFormat="1">
      <alignment horizontal="center" shrinkToFit="0" vertical="center" wrapText="0"/>
    </xf>
    <xf borderId="12" fillId="7" fontId="14" numFmtId="9" xfId="0" applyAlignment="1" applyBorder="1" applyFill="1" applyFont="1" applyNumberFormat="1">
      <alignment horizontal="center" shrinkToFit="0" vertical="center" wrapText="0"/>
    </xf>
    <xf borderId="4" fillId="4" fontId="5" numFmtId="0" xfId="0" applyAlignment="1" applyBorder="1" applyFill="1" applyFont="1">
      <alignment readingOrder="0" shrinkToFit="0" vertical="center" wrapText="1"/>
    </xf>
    <xf borderId="0" fillId="0" fontId="18" numFmtId="0" xfId="0" applyAlignment="1" applyFont="1">
      <alignment readingOrder="0" shrinkToFit="0" wrapText="1"/>
    </xf>
    <xf borderId="12" fillId="7" fontId="14" numFmtId="3" xfId="0" applyAlignment="1" applyBorder="1" applyFill="1" applyFont="1" applyNumberFormat="1">
      <alignment horizontal="center" shrinkToFit="0" vertical="center" wrapText="0"/>
    </xf>
    <xf borderId="12" fillId="7" fontId="14" numFmtId="49" xfId="0" applyAlignment="1" applyBorder="1" applyFill="1" applyFont="1" applyNumberFormat="1">
      <alignment horizontal="center" shrinkToFit="0" vertical="center" wrapText="0"/>
    </xf>
    <xf borderId="16" fillId="0" fontId="3" numFmtId="0" xfId="0" applyBorder="1" applyFont="1"/>
    <xf borderId="8" fillId="5" fontId="19" numFmtId="0" xfId="0" applyAlignment="1" applyBorder="1" applyFill="1" applyFont="1">
      <alignment horizontal="center" shrinkToFit="0" textRotation="90" vertical="center" wrapText="1"/>
    </xf>
    <xf borderId="9" fillId="10" fontId="20" numFmtId="0" xfId="0" applyAlignment="1" applyBorder="1" applyFill="1" applyFont="1">
      <alignment horizontal="center" shrinkToFit="0" vertical="bottom" wrapText="0"/>
    </xf>
    <xf borderId="17" fillId="0" fontId="3" numFmtId="0" xfId="0" applyBorder="1" applyFont="1"/>
    <xf borderId="18" fillId="6" fontId="21" numFmtId="0" xfId="0" applyAlignment="1" applyBorder="1" applyFill="1" applyFont="1">
      <alignment horizontal="center" shrinkToFit="0" vertical="bottom" wrapText="0"/>
    </xf>
    <xf borderId="18" fillId="0" fontId="22" numFmtId="0" xfId="0" applyAlignment="1" applyBorder="1" applyFont="1">
      <alignment horizontal="left" shrinkToFit="0" vertical="bottom" wrapText="0"/>
    </xf>
    <xf borderId="18" fillId="0" fontId="22" numFmtId="9" xfId="0" applyAlignment="1" applyBorder="1" applyFont="1" applyNumberFormat="1">
      <alignment horizontal="center" shrinkToFit="0" vertical="bottom" wrapText="0"/>
    </xf>
    <xf borderId="4" fillId="0" fontId="17" numFmtId="0" xfId="0" applyAlignment="1" applyBorder="1" applyFont="1">
      <alignment readingOrder="0"/>
    </xf>
    <xf borderId="4" fillId="0" fontId="5" numFmtId="0" xfId="0" applyAlignment="1" applyBorder="1" applyFont="1">
      <alignment vertical="bottom"/>
    </xf>
    <xf borderId="4" fillId="4" fontId="17" numFmtId="0" xfId="0" applyAlignment="1" applyBorder="1" applyFill="1" applyFont="1">
      <alignment readingOrder="0"/>
    </xf>
    <xf borderId="4" fillId="4" fontId="5" numFmtId="0" xfId="0" applyAlignment="1" applyBorder="1" applyFill="1" applyFont="1">
      <alignment vertical="bottom"/>
    </xf>
    <xf borderId="4" fillId="0" fontId="5" numFmtId="0" xfId="0" applyAlignment="1" applyBorder="1" applyFont="1">
      <alignment readingOrder="0" vertical="bottom"/>
    </xf>
    <xf borderId="18" fillId="7" fontId="23" numFmtId="9" xfId="0" applyAlignment="1" applyBorder="1" applyFill="1" applyFont="1" applyNumberFormat="1">
      <alignment horizontal="center" shrinkToFit="0" vertical="bottom" wrapText="0"/>
    </xf>
    <xf borderId="18" fillId="0" fontId="24" numFmtId="0" xfId="0" applyAlignment="1" applyBorder="1" applyFont="1">
      <alignment horizontal="left" shrinkToFit="0" vertical="bottom" wrapText="0"/>
    </xf>
    <xf borderId="18" fillId="0" fontId="24" numFmtId="9" xfId="0" applyAlignment="1" applyBorder="1" applyFont="1" applyNumberFormat="1">
      <alignment horizontal="center" shrinkToFit="0" vertical="bottom" wrapText="0"/>
    </xf>
    <xf borderId="18" fillId="7" fontId="25" numFmtId="9" xfId="0" applyAlignment="1" applyBorder="1" applyFill="1" applyFont="1" applyNumberFormat="1">
      <alignment horizontal="center" shrinkToFit="0" vertical="bottom" wrapText="0"/>
    </xf>
    <xf borderId="18" fillId="0" fontId="24" numFmtId="3" xfId="0" applyAlignment="1" applyBorder="1" applyFont="1" applyNumberFormat="1">
      <alignment horizontal="center" shrinkToFit="0" vertical="bottom" wrapText="0"/>
    </xf>
    <xf borderId="18" fillId="7" fontId="25" numFmtId="3" xfId="0" applyAlignment="1" applyBorder="1" applyFill="1" applyFont="1" applyNumberFormat="1">
      <alignment horizontal="center" shrinkToFit="0" vertical="bottom" wrapText="0"/>
    </xf>
    <xf borderId="18" fillId="0" fontId="22" numFmtId="166" xfId="0" applyAlignment="1" applyBorder="1" applyFont="1" applyNumberFormat="1">
      <alignment horizontal="center" shrinkToFit="0" vertical="bottom" wrapText="0"/>
    </xf>
    <xf borderId="18" fillId="7" fontId="23" numFmtId="166" xfId="0" applyAlignment="1" applyBorder="1" applyFill="1" applyFont="1" applyNumberFormat="1">
      <alignment horizontal="center" shrinkToFit="0" vertical="bottom" wrapText="0"/>
    </xf>
    <xf borderId="18" fillId="9" fontId="23" numFmtId="0" xfId="0" applyAlignment="1" applyBorder="1" applyFill="1" applyFont="1">
      <alignment horizontal="left" shrinkToFit="0" vertical="bottom" wrapText="0"/>
    </xf>
    <xf borderId="18" fillId="9" fontId="23" numFmtId="166" xfId="0" applyAlignment="1" applyBorder="1" applyFill="1" applyFont="1" applyNumberFormat="1">
      <alignment horizontal="center" shrinkToFit="0" vertical="bottom" wrapText="0"/>
    </xf>
    <xf borderId="18" fillId="0" fontId="22" numFmtId="49" xfId="0" applyAlignment="1" applyBorder="1" applyFont="1" applyNumberFormat="1">
      <alignment horizontal="center" shrinkToFit="0" vertical="bottom" wrapText="0"/>
    </xf>
    <xf borderId="18" fillId="7" fontId="23" numFmtId="49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2">
    <dxf>
      <font>
        <b/>
        <color rgb="FF00803C"/>
        <name val="Arial"/>
      </font>
      <fill>
        <patternFill patternType="solid">
          <fgColor rgb="FFD9F2E3"/>
          <bgColor rgb="FFD9F2E3"/>
        </patternFill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hautomate.com/whatsapp-business-api-pricing-india" TargetMode="External"/><Relationship Id="rId22" Type="http://schemas.openxmlformats.org/officeDocument/2006/relationships/hyperlink" Target="https://www.smsgatewaycenter.com/long-code-dedicated-pricing/" TargetMode="External"/><Relationship Id="rId21" Type="http://schemas.openxmlformats.org/officeDocument/2006/relationships/hyperlink" Target="https://www.messagecentral.com/blog/a2p-sms-pricing-india" TargetMode="External"/><Relationship Id="rId24" Type="http://schemas.openxmlformats.org/officeDocument/2006/relationships/hyperlink" Target="https://www.smsgatewaycenter.com/long-code-dedicated-pricing/" TargetMode="External"/><Relationship Id="rId23" Type="http://schemas.openxmlformats.org/officeDocument/2006/relationships/hyperlink" Target="https://www.smsgatewaycenter.com/long-code-dedicated-pricing/" TargetMode="External"/><Relationship Id="rId1" Type="http://schemas.openxmlformats.org/officeDocument/2006/relationships/hyperlink" Target="https://www.medianama.com/2025/12/223-meesho-ipo-rhp-filing-5421-crore/" TargetMode="External"/><Relationship Id="rId2" Type="http://schemas.openxmlformats.org/officeDocument/2006/relationships/hyperlink" Target="https://bsmedia.business-standard.com/_media/bs/data/market-reports/equity-brokertips/2026-05/17781299470.36140600.pdf" TargetMode="External"/><Relationship Id="rId3" Type="http://schemas.openxmlformats.org/officeDocument/2006/relationships/hyperlink" Target="https://www.storyboard18.com/how-it-works/tier-3-cities-power-21-yoy-growth-in-2025-summer-sales-account-for-38-of-indias-ecommerce-orders-unicommerce-72837.htm" TargetMode="External"/><Relationship Id="rId4" Type="http://schemas.openxmlformats.org/officeDocument/2006/relationships/hyperlink" Target="https://meesho.io/blog/from-gen-z-to-gen-ai-four-key-trends-that-powered-meeshos-growth-in-2024" TargetMode="External"/><Relationship Id="rId9" Type="http://schemas.openxmlformats.org/officeDocument/2006/relationships/hyperlink" Target="https://www.egrow.com/en/blog/the-complete-guide-to-reducing-return-to-origin-rto-in-cod-e-commerce-2026" TargetMode="External"/><Relationship Id="rId26" Type="http://schemas.openxmlformats.org/officeDocument/2006/relationships/hyperlink" Target="https://www.plivo.com/voice/pricing/in/" TargetMode="External"/><Relationship Id="rId25" Type="http://schemas.openxmlformats.org/officeDocument/2006/relationships/hyperlink" Target="https://www.plivo.com/voice/pricing/in/" TargetMode="External"/><Relationship Id="rId28" Type="http://schemas.openxmlformats.org/officeDocument/2006/relationships/hyperlink" Target="https://crm.smsgatewayhub.com/knowledge-base/article/dlt-registration-charges-cost-breakdown-in-india" TargetMode="External"/><Relationship Id="rId27" Type="http://schemas.openxmlformats.org/officeDocument/2006/relationships/hyperlink" Target="https://www.plivo.com/voice/pricing/in/" TargetMode="External"/><Relationship Id="rId5" Type="http://schemas.openxmlformats.org/officeDocument/2006/relationships/hyperlink" Target="https://static.pib.gov.in/WriteReadData/specificdocs/documents/2025/may/doc2025529560001.pdf" TargetMode="External"/><Relationship Id="rId6" Type="http://schemas.openxmlformats.org/officeDocument/2006/relationships/hyperlink" Target="https://www.bepragma.ai/blogs/how-to-automate-cod-confirmation-on-whatsap" TargetMode="External"/><Relationship Id="rId29" Type="http://schemas.openxmlformats.org/officeDocument/2006/relationships/hyperlink" Target="https://precisiontech.in/cloud/amazon-aws-cloud/aws-pricing/aws-pricing-in-mumbai/" TargetMode="External"/><Relationship Id="rId7" Type="http://schemas.openxmlformats.org/officeDocument/2006/relationships/hyperlink" Target="https://pragmad2ccaffeine.beehiiv.com/p/amazing-india-the-risk-factor-for-d2c-ecommerce-brands-in-india" TargetMode="External"/><Relationship Id="rId8" Type="http://schemas.openxmlformats.org/officeDocument/2006/relationships/hyperlink" Target="https://www.egrow.com/en/blog/the-complete-guide-to-reducing-return-to-origin-rto-in-cod-e-commerce-2026" TargetMode="External"/><Relationship Id="rId31" Type="http://schemas.openxmlformats.org/officeDocument/2006/relationships/hyperlink" Target="https://precisiontech.in/cloud/amazon-aws-cloud/aws-pricing/aws-pricing-in-mumbai/" TargetMode="External"/><Relationship Id="rId30" Type="http://schemas.openxmlformats.org/officeDocument/2006/relationships/hyperlink" Target="https://precisiontech.in/cloud/amazon-aws-cloud/aws-pricing/aws-pricing-in-mumbai/" TargetMode="External"/><Relationship Id="rId11" Type="http://schemas.openxmlformats.org/officeDocument/2006/relationships/hyperlink" Target="https://static-assets.meesho.com/investor-relations/1784806298911/Q1ShareholdersLetter.pdf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ocs.google.com/spreadsheets/d/1ZizBEY0UnHHRRCAgQD1GnKmJsFurqxvf-sQuIOy04NQ/edit?gid=1366391999" TargetMode="External"/><Relationship Id="rId32" Type="http://schemas.openxmlformats.org/officeDocument/2006/relationships/hyperlink" Target="https://precisiontech.in/cloud/amazon-aws-cloud/aws-pricing/aws-pricing-in-mumbai/" TargetMode="External"/><Relationship Id="rId13" Type="http://schemas.openxmlformats.org/officeDocument/2006/relationships/hyperlink" Target="https://www.shipmozo.com/blog/how-to-reduce-rto-in-ecommerce" TargetMode="External"/><Relationship Id="rId12" Type="http://schemas.openxmlformats.org/officeDocument/2006/relationships/hyperlink" Target="https://trackvid.in/blogs/how-to-reduce-rto-in-ecommerce.html" TargetMode="External"/><Relationship Id="rId15" Type="http://schemas.openxmlformats.org/officeDocument/2006/relationships/hyperlink" Target="https://www.bepragma.ai/blogs/how-to-automate-cod-confirmation-on-whatsap" TargetMode="External"/><Relationship Id="rId14" Type="http://schemas.openxmlformats.org/officeDocument/2006/relationships/hyperlink" Target="https://caller.digital/use-cases/cod-order-confirmation" TargetMode="External"/><Relationship Id="rId17" Type="http://schemas.openxmlformats.org/officeDocument/2006/relationships/hyperlink" Target="https://www.icarry.in/pages/blog/delivery-attempt-rto-costs.html" TargetMode="External"/><Relationship Id="rId16" Type="http://schemas.openxmlformats.org/officeDocument/2006/relationships/hyperlink" Target="https://static-assets.meesho.com/investor-relations/1784806298911/Q1ShareholdersLetter.pdf" TargetMode="External"/><Relationship Id="rId19" Type="http://schemas.openxmlformats.org/officeDocument/2006/relationships/hyperlink" Target="https://www.courier.com/blog/whatsapp-pricing-changes-october-2026" TargetMode="External"/><Relationship Id="rId18" Type="http://schemas.openxmlformats.org/officeDocument/2006/relationships/hyperlink" Target="https://chatmaxima.com/whatsapp-api-pricing/indi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0.25"/>
    <col customWidth="1" min="2" max="2" width="21.38"/>
    <col customWidth="1" min="3" max="3" width="12.25"/>
    <col customWidth="1" min="4" max="4" width="13.13"/>
    <col customWidth="1" min="5" max="24" width="7.63"/>
  </cols>
  <sheetData>
    <row r="1">
      <c r="A1" s="1" t="s">
        <v>1</v>
      </c>
      <c r="B1" s="3"/>
      <c r="C1" s="3"/>
      <c r="D1" s="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8" t="s">
        <v>23</v>
      </c>
      <c r="B2" s="8" t="s">
        <v>24</v>
      </c>
      <c r="C2" s="8" t="s">
        <v>25</v>
      </c>
      <c r="D2" s="8" t="s">
        <v>27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2" t="s">
        <v>28</v>
      </c>
      <c r="B3" s="3"/>
      <c r="C3" s="3"/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0" t="s">
        <v>29</v>
      </c>
      <c r="B4" s="11">
        <v>4200000.0</v>
      </c>
      <c r="C4" s="12" t="s">
        <v>30</v>
      </c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0" t="s">
        <v>31</v>
      </c>
      <c r="B5" s="14">
        <v>0.8</v>
      </c>
      <c r="C5" s="12" t="s">
        <v>32</v>
      </c>
      <c r="D5" s="16" t="s">
        <v>33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10" t="s">
        <v>37</v>
      </c>
      <c r="B6" s="14">
        <v>0.2</v>
      </c>
      <c r="C6" s="12" t="s">
        <v>32</v>
      </c>
      <c r="D6" s="16" t="s">
        <v>33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9" t="s">
        <v>40</v>
      </c>
      <c r="B7" s="20">
        <v>29.0</v>
      </c>
      <c r="C7" s="12" t="s">
        <v>41</v>
      </c>
      <c r="D7" s="1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10" t="s">
        <v>43</v>
      </c>
      <c r="B8" s="20">
        <v>120.0</v>
      </c>
      <c r="C8" s="12" t="s">
        <v>41</v>
      </c>
      <c r="D8" s="1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0" t="s">
        <v>44</v>
      </c>
      <c r="B9" s="21">
        <v>365.0</v>
      </c>
      <c r="C9" s="12" t="s">
        <v>45</v>
      </c>
      <c r="D9" s="1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2"/>
      <c r="B10" s="22"/>
      <c r="C10" s="22"/>
      <c r="D10" s="2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2" t="s">
        <v>47</v>
      </c>
      <c r="B11" s="3"/>
      <c r="C11" s="3"/>
      <c r="D11" s="4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10" t="s">
        <v>48</v>
      </c>
      <c r="B12" s="14">
        <v>0.38</v>
      </c>
      <c r="C12" s="12" t="s">
        <v>32</v>
      </c>
      <c r="D12" s="16" t="s">
        <v>33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0" t="s">
        <v>52</v>
      </c>
      <c r="B13" s="14">
        <v>0.65</v>
      </c>
      <c r="C13" s="12" t="s">
        <v>32</v>
      </c>
      <c r="D13" s="16" t="s">
        <v>33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10" t="s">
        <v>54</v>
      </c>
      <c r="B14" s="24">
        <v>0.815</v>
      </c>
      <c r="C14" s="12" t="s">
        <v>55</v>
      </c>
      <c r="D14" s="16" t="s">
        <v>33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0" t="s">
        <v>56</v>
      </c>
      <c r="B15" s="14">
        <v>0.6</v>
      </c>
      <c r="C15" s="12" t="s">
        <v>32</v>
      </c>
      <c r="D15" s="16" t="s">
        <v>33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10" t="s">
        <v>61</v>
      </c>
      <c r="B16" s="14">
        <v>0.265</v>
      </c>
      <c r="C16" s="12" t="s">
        <v>32</v>
      </c>
      <c r="D16" s="16" t="s">
        <v>33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0" t="s">
        <v>63</v>
      </c>
      <c r="B17" s="14">
        <v>0.35</v>
      </c>
      <c r="C17" s="12" t="s">
        <v>32</v>
      </c>
      <c r="D17" s="16" t="s">
        <v>33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0" t="s">
        <v>64</v>
      </c>
      <c r="B18" s="14">
        <v>0.375</v>
      </c>
      <c r="C18" s="12" t="s">
        <v>32</v>
      </c>
      <c r="D18" s="16" t="s">
        <v>33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0" t="s">
        <v>65</v>
      </c>
      <c r="B19" s="14">
        <v>0.16</v>
      </c>
      <c r="C19" s="12" t="s">
        <v>32</v>
      </c>
      <c r="D19" s="16" t="s">
        <v>33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22"/>
      <c r="B20" s="22"/>
      <c r="C20" s="22"/>
      <c r="D20" s="22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2" t="s">
        <v>69</v>
      </c>
      <c r="B21" s="3"/>
      <c r="C21" s="3"/>
      <c r="D21" s="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10" t="s">
        <v>70</v>
      </c>
      <c r="B22" s="30" t="s">
        <v>71</v>
      </c>
      <c r="C22" s="3"/>
      <c r="D22" s="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0" t="s">
        <v>73</v>
      </c>
      <c r="B23" s="14">
        <v>0.2</v>
      </c>
      <c r="C23" s="12" t="s">
        <v>32</v>
      </c>
      <c r="D23" s="16" t="s">
        <v>33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10" t="s">
        <v>76</v>
      </c>
      <c r="B24" s="14">
        <f>$B$15*((1-$B$13)+$B$13*$B$14)/((1-$B$12)+$B$12*$B$14)</f>
        <v>0.5677637948</v>
      </c>
      <c r="C24" s="12" t="s">
        <v>32</v>
      </c>
      <c r="D24" s="1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0" t="s">
        <v>78</v>
      </c>
      <c r="B25" s="36">
        <f>'Assumptions '!$B$17/'Assumptions '!$B$16</f>
        <v>1.320754717</v>
      </c>
      <c r="C25" s="12" t="s">
        <v>55</v>
      </c>
      <c r="D25" s="1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10" t="s">
        <v>80</v>
      </c>
      <c r="B26" s="14">
        <f>MIN(1,'Assumptions '!$B$6*'Assumptions '!$B$25)</f>
        <v>0.2641509434</v>
      </c>
      <c r="C26" s="12" t="s">
        <v>32</v>
      </c>
      <c r="D26" s="13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0" t="s">
        <v>83</v>
      </c>
      <c r="B27" s="14">
        <f>('Assumptions '!$B$6-'Assumptions '!$B$23*'Assumptions '!$B$26)/(1-'Assumptions '!$B$23)</f>
        <v>0.1839622642</v>
      </c>
      <c r="C27" s="12" t="s">
        <v>32</v>
      </c>
      <c r="D27" s="13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10" t="s">
        <v>84</v>
      </c>
      <c r="B28" s="14">
        <v>0.15</v>
      </c>
      <c r="C28" s="12" t="s">
        <v>32</v>
      </c>
      <c r="D28" s="13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0" t="s">
        <v>86</v>
      </c>
      <c r="B29" s="14">
        <v>0.2</v>
      </c>
      <c r="C29" s="12" t="s">
        <v>32</v>
      </c>
      <c r="D29" s="16" t="s">
        <v>33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10" t="s">
        <v>89</v>
      </c>
      <c r="B30" s="42">
        <v>2.0</v>
      </c>
      <c r="C30" s="12" t="s">
        <v>90</v>
      </c>
      <c r="D30" s="16" t="s">
        <v>33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0" t="s">
        <v>91</v>
      </c>
      <c r="B31" s="14">
        <v>0.48</v>
      </c>
      <c r="C31" s="12" t="s">
        <v>32</v>
      </c>
      <c r="D31" s="16" t="s">
        <v>33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10" t="s">
        <v>92</v>
      </c>
      <c r="B32" s="14">
        <f>MIN(1,'Assumptions '!$B$31*'Assumptions '!$B$19/'Assumptions '!$B$18)</f>
        <v>0.2048</v>
      </c>
      <c r="C32" s="12" t="s">
        <v>32</v>
      </c>
      <c r="D32" s="13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0" t="s">
        <v>93</v>
      </c>
      <c r="B33" s="14">
        <v>0.03</v>
      </c>
      <c r="C33" s="12" t="s">
        <v>32</v>
      </c>
      <c r="D33" s="16" t="s">
        <v>33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10" t="s">
        <v>94</v>
      </c>
      <c r="B34" s="44">
        <v>11.04</v>
      </c>
      <c r="C34" s="12" t="s">
        <v>41</v>
      </c>
      <c r="D34" s="16" t="s">
        <v>33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0" t="s">
        <v>96</v>
      </c>
      <c r="B35" s="42">
        <v>0.0</v>
      </c>
      <c r="C35" s="12" t="s">
        <v>97</v>
      </c>
      <c r="D35" s="13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10" t="s">
        <v>98</v>
      </c>
      <c r="B36" s="14">
        <v>0.342</v>
      </c>
      <c r="C36" s="12" t="s">
        <v>32</v>
      </c>
      <c r="D36" s="13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10" t="s">
        <v>99</v>
      </c>
      <c r="B37" s="14">
        <v>0.03</v>
      </c>
      <c r="C37" s="12" t="s">
        <v>32</v>
      </c>
      <c r="D37" s="1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10" t="s">
        <v>100</v>
      </c>
      <c r="B38" s="20">
        <v>15.0</v>
      </c>
      <c r="C38" s="12" t="s">
        <v>101</v>
      </c>
      <c r="D38" s="13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10" t="s">
        <v>103</v>
      </c>
      <c r="B39" s="42">
        <v>13.0</v>
      </c>
      <c r="C39" s="12" t="s">
        <v>45</v>
      </c>
      <c r="D39" s="16" t="s">
        <v>33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22"/>
      <c r="B40" s="22"/>
      <c r="C40" s="22"/>
      <c r="D40" s="2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2" t="s">
        <v>104</v>
      </c>
      <c r="B41" s="3"/>
      <c r="C41" s="3"/>
      <c r="D41" s="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10" t="s">
        <v>106</v>
      </c>
      <c r="B42" s="45">
        <v>0.115</v>
      </c>
      <c r="C42" s="12" t="s">
        <v>107</v>
      </c>
      <c r="D42" s="16" t="s">
        <v>33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10" t="s">
        <v>108</v>
      </c>
      <c r="B43" s="42">
        <v>1.0</v>
      </c>
      <c r="C43" s="12" t="s">
        <v>109</v>
      </c>
      <c r="D43" s="13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10" t="s">
        <v>110</v>
      </c>
      <c r="B44" s="42">
        <v>1.0</v>
      </c>
      <c r="C44" s="12" t="s">
        <v>109</v>
      </c>
      <c r="D44" s="16" t="s">
        <v>33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10" t="s">
        <v>111</v>
      </c>
      <c r="B45" s="14">
        <v>0.1</v>
      </c>
      <c r="C45" s="12" t="s">
        <v>112</v>
      </c>
      <c r="D45" s="16" t="s">
        <v>33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10" t="s">
        <v>113</v>
      </c>
      <c r="B46" s="44">
        <v>0.18</v>
      </c>
      <c r="C46" s="12" t="s">
        <v>114</v>
      </c>
      <c r="D46" s="16" t="s">
        <v>33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10" t="s">
        <v>115</v>
      </c>
      <c r="B47" s="44">
        <v>0.08</v>
      </c>
      <c r="C47" s="12" t="s">
        <v>114</v>
      </c>
      <c r="D47" s="16" t="s">
        <v>33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10" t="s">
        <v>116</v>
      </c>
      <c r="B48" s="20">
        <v>8500.0</v>
      </c>
      <c r="C48" s="12" t="s">
        <v>117</v>
      </c>
      <c r="D48" s="16" t="s">
        <v>33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10" t="s">
        <v>118</v>
      </c>
      <c r="B49" s="20">
        <v>50000.0</v>
      </c>
      <c r="C49" s="12" t="s">
        <v>119</v>
      </c>
      <c r="D49" s="16" t="s">
        <v>33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10" t="s">
        <v>120</v>
      </c>
      <c r="B50" s="44">
        <v>0.38</v>
      </c>
      <c r="C50" s="12" t="s">
        <v>121</v>
      </c>
      <c r="D50" s="16" t="s">
        <v>33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10" t="s">
        <v>123</v>
      </c>
      <c r="B51" s="42">
        <v>30.0</v>
      </c>
      <c r="C51" s="12" t="s">
        <v>124</v>
      </c>
      <c r="D51" s="16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10" t="s">
        <v>125</v>
      </c>
      <c r="B52" s="42">
        <v>60.0</v>
      </c>
      <c r="C52" s="12" t="s">
        <v>124</v>
      </c>
      <c r="D52" s="1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10" t="s">
        <v>126</v>
      </c>
      <c r="B53" s="11">
        <v>500.0</v>
      </c>
      <c r="C53" s="12" t="s">
        <v>127</v>
      </c>
      <c r="D53" s="1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10" t="s">
        <v>128</v>
      </c>
      <c r="B54" s="20">
        <v>200.0</v>
      </c>
      <c r="C54" s="12" t="s">
        <v>129</v>
      </c>
      <c r="D54" s="16" t="s">
        <v>33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10" t="s">
        <v>130</v>
      </c>
      <c r="B55" s="20">
        <v>5900.0</v>
      </c>
      <c r="C55" s="12" t="s">
        <v>131</v>
      </c>
      <c r="D55" s="16" t="s">
        <v>33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10" t="s">
        <v>132</v>
      </c>
      <c r="B56" s="42">
        <v>4.0</v>
      </c>
      <c r="C56" s="12" t="s">
        <v>133</v>
      </c>
      <c r="D56" s="13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10" t="s">
        <v>134</v>
      </c>
      <c r="B57" s="42">
        <v>0.0</v>
      </c>
      <c r="C57" s="12" t="s">
        <v>135</v>
      </c>
      <c r="D57" s="16" t="s">
        <v>33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22"/>
      <c r="B58" s="22"/>
      <c r="C58" s="22"/>
      <c r="D58" s="22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2" t="s">
        <v>136</v>
      </c>
      <c r="B59" s="3"/>
      <c r="C59" s="3"/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10" t="s">
        <v>137</v>
      </c>
      <c r="B60" s="20">
        <v>11700.0</v>
      </c>
      <c r="C60" s="12" t="s">
        <v>117</v>
      </c>
      <c r="D60" s="16" t="s">
        <v>33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10" t="s">
        <v>138</v>
      </c>
      <c r="B61" s="42">
        <v>4.0</v>
      </c>
      <c r="C61" s="12" t="s">
        <v>139</v>
      </c>
      <c r="D61" s="1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10" t="s">
        <v>140</v>
      </c>
      <c r="B62" s="20">
        <v>15400.0</v>
      </c>
      <c r="C62" s="12" t="s">
        <v>117</v>
      </c>
      <c r="D62" s="16" t="s">
        <v>33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0" t="s">
        <v>141</v>
      </c>
      <c r="B63" s="42">
        <v>2.0</v>
      </c>
      <c r="C63" s="12" t="s">
        <v>142</v>
      </c>
      <c r="D63" s="13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10" t="s">
        <v>143</v>
      </c>
      <c r="B64" s="42">
        <v>120.0</v>
      </c>
      <c r="C64" s="12" t="s">
        <v>144</v>
      </c>
      <c r="D64" s="13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10" t="s">
        <v>145</v>
      </c>
      <c r="B65" s="42">
        <v>2.0</v>
      </c>
      <c r="C65" s="12" t="s">
        <v>146</v>
      </c>
      <c r="D65" s="1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10" t="s">
        <v>147</v>
      </c>
      <c r="B66" s="42">
        <v>180.0</v>
      </c>
      <c r="C66" s="12" t="s">
        <v>45</v>
      </c>
      <c r="D66" s="1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10" t="s">
        <v>148</v>
      </c>
      <c r="B67" s="44">
        <v>2.1</v>
      </c>
      <c r="C67" s="12" t="s">
        <v>149</v>
      </c>
      <c r="D67" s="16" t="s">
        <v>33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10" t="s">
        <v>150</v>
      </c>
      <c r="B68" s="42">
        <v>2.0</v>
      </c>
      <c r="C68" s="12" t="s">
        <v>139</v>
      </c>
      <c r="D68" s="1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22"/>
      <c r="B69" s="22"/>
      <c r="C69" s="22"/>
      <c r="D69" s="22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2" t="s">
        <v>151</v>
      </c>
      <c r="B70" s="3"/>
      <c r="C70" s="3"/>
      <c r="D70" s="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0" t="s">
        <v>152</v>
      </c>
      <c r="B71" s="20">
        <v>0.0</v>
      </c>
      <c r="C71" s="12" t="s">
        <v>153</v>
      </c>
      <c r="D71" s="13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22"/>
      <c r="B72" s="22"/>
      <c r="C72" s="22"/>
      <c r="D72" s="2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2" t="s">
        <v>154</v>
      </c>
      <c r="B73" s="3"/>
      <c r="C73" s="3"/>
      <c r="D73" s="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10" t="s">
        <v>155</v>
      </c>
      <c r="B74" s="42">
        <v>10.0</v>
      </c>
      <c r="C74" s="12" t="s">
        <v>156</v>
      </c>
      <c r="D74" s="13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0" t="s">
        <v>157</v>
      </c>
      <c r="B75" s="20">
        <v>5000.0</v>
      </c>
      <c r="C75" s="12" t="s">
        <v>158</v>
      </c>
      <c r="D75" s="1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10" t="s">
        <v>159</v>
      </c>
      <c r="B76" s="20">
        <v>500000.0</v>
      </c>
      <c r="C76" s="12" t="s">
        <v>119</v>
      </c>
      <c r="D76" s="1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10" t="s">
        <v>160</v>
      </c>
      <c r="B77" s="20">
        <v>50000.0</v>
      </c>
      <c r="C77" s="12" t="s">
        <v>119</v>
      </c>
      <c r="D77" s="1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10" t="s">
        <v>161</v>
      </c>
      <c r="B78" s="20">
        <v>200000.0</v>
      </c>
      <c r="C78" s="12" t="s">
        <v>162</v>
      </c>
      <c r="D78" s="1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10" t="s">
        <v>163</v>
      </c>
      <c r="B79" s="14">
        <v>0.1</v>
      </c>
      <c r="C79" s="12" t="s">
        <v>32</v>
      </c>
      <c r="D79" s="1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22"/>
      <c r="B80" s="22"/>
      <c r="C80" s="22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2" t="s">
        <v>164</v>
      </c>
      <c r="B81" s="3"/>
      <c r="C81" s="3"/>
      <c r="D81" s="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10" t="s">
        <v>165</v>
      </c>
      <c r="B82" s="42">
        <v>2.0</v>
      </c>
      <c r="C82" s="12" t="s">
        <v>166</v>
      </c>
      <c r="D82" s="1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10" t="s">
        <v>167</v>
      </c>
      <c r="B83" s="14">
        <v>0.05</v>
      </c>
      <c r="C83" s="12" t="s">
        <v>32</v>
      </c>
      <c r="D83" s="1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10" t="s">
        <v>168</v>
      </c>
      <c r="B84" s="14">
        <v>0.25</v>
      </c>
      <c r="C84" s="12" t="s">
        <v>32</v>
      </c>
      <c r="D84" s="1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10" t="s">
        <v>169</v>
      </c>
      <c r="B85" s="14">
        <v>0.5</v>
      </c>
      <c r="C85" s="12" t="s">
        <v>32</v>
      </c>
      <c r="D85" s="1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22"/>
      <c r="B86" s="22"/>
      <c r="C86" s="22"/>
      <c r="D86" s="2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2" t="s">
        <v>170</v>
      </c>
      <c r="B87" s="3"/>
      <c r="C87" s="3"/>
      <c r="D87" s="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10" t="s">
        <v>171</v>
      </c>
      <c r="B88" s="11">
        <f>'Assumptions '!$B$4*'Assumptions '!$B$5</f>
        <v>3360000</v>
      </c>
      <c r="C88" s="12" t="s">
        <v>30</v>
      </c>
      <c r="D88" s="1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10" t="s">
        <v>172</v>
      </c>
      <c r="B89" s="11">
        <f>'Assumptions '!$B$88*'Assumptions '!$B$23</f>
        <v>672000</v>
      </c>
      <c r="C89" s="12" t="s">
        <v>30</v>
      </c>
      <c r="D89" s="1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10" t="s">
        <v>173</v>
      </c>
      <c r="B90" s="11">
        <f>'Assumptions '!$B$88*(1-'Assumptions '!$B$24)</f>
        <v>1452313.65</v>
      </c>
      <c r="C90" s="12" t="s">
        <v>174</v>
      </c>
      <c r="D90" s="1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10" t="s">
        <v>175</v>
      </c>
      <c r="B91" s="11">
        <f>'Assumptions '!$B$90*'Assumptions '!$B$28</f>
        <v>217847.0474</v>
      </c>
      <c r="C91" s="12" t="s">
        <v>174</v>
      </c>
      <c r="D91" s="1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10" t="s">
        <v>176</v>
      </c>
      <c r="B92" s="11">
        <f>'Assumptions '!$B$89*(1-'Assumptions '!$B$24)*(1-'Assumptions '!$B$28)</f>
        <v>246893.3204</v>
      </c>
      <c r="C92" s="12" t="s">
        <v>30</v>
      </c>
      <c r="D92" s="1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10" t="s">
        <v>177</v>
      </c>
      <c r="B93" s="14">
        <f>1-(1-'Assumptions '!$B$29)^'Assumptions '!$B$30</f>
        <v>0.36</v>
      </c>
      <c r="C93" s="12" t="s">
        <v>32</v>
      </c>
      <c r="D93" s="1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10" t="s">
        <v>179</v>
      </c>
      <c r="B94" s="14">
        <f>'Assumptions '!$B$24+(1-'Assumptions '!$B$24)*'Assumptions '!$B$28</f>
        <v>0.6325992256</v>
      </c>
      <c r="C94" s="12" t="s">
        <v>32</v>
      </c>
      <c r="D94" s="1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10" t="s">
        <v>181</v>
      </c>
      <c r="B95" s="14">
        <f>'Assumptions '!$B$94+(1-'Assumptions '!$B$24)*(1-'Assumptions '!$B$28)*'Assumptions '!$B$93</f>
        <v>0.7648635044</v>
      </c>
      <c r="C95" s="12" t="s">
        <v>32</v>
      </c>
      <c r="D95" s="1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10" t="s">
        <v>182</v>
      </c>
      <c r="B96" s="11">
        <f>'Assumptions '!$B$88*'Assumptions '!$B$6*'Assumptions '!$B$24*'Assumptions '!$B$32</f>
        <v>78138.83291</v>
      </c>
      <c r="C96" s="12" t="s">
        <v>184</v>
      </c>
      <c r="D96" s="1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10" t="s">
        <v>185</v>
      </c>
      <c r="B97" s="11">
        <f>'Assumptions '!$B$88*'Assumptions '!$B$6*(1-'Assumptions '!$B$24)*'Assumptions '!$B$28*'Assumptions '!$B$32</f>
        <v>8923.015063</v>
      </c>
      <c r="C97" s="12" t="s">
        <v>184</v>
      </c>
      <c r="D97" s="1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10" t="s">
        <v>187</v>
      </c>
      <c r="B98" s="11">
        <f>'Assumptions '!$B$89*'Assumptions '!$B$26*(1-'Assumptions '!$B$24)*(1-'Assumptions '!$B$28)*'Assumptions '!$B$93*'Assumptions '!$B$32</f>
        <v>4808.326607</v>
      </c>
      <c r="C98" s="12" t="s">
        <v>184</v>
      </c>
      <c r="D98" s="1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10" t="s">
        <v>189</v>
      </c>
      <c r="B99" s="11">
        <f>'Assumptions '!$B$96+'Assumptions '!$B$97+'Assumptions '!$B$98</f>
        <v>91870.17458</v>
      </c>
      <c r="C99" s="12" t="s">
        <v>184</v>
      </c>
      <c r="D99" s="1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10" t="s">
        <v>190</v>
      </c>
      <c r="B100" s="20">
        <v>120.0</v>
      </c>
      <c r="C100" s="12" t="s">
        <v>191</v>
      </c>
      <c r="D100" s="1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10" t="s">
        <v>192</v>
      </c>
      <c r="B101" s="11">
        <f>'Assumptions '!$B$92*'Assumptions '!$B$93</f>
        <v>88881.59535</v>
      </c>
      <c r="C101" s="12" t="s">
        <v>194</v>
      </c>
      <c r="D101" s="1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10" t="s">
        <v>195</v>
      </c>
      <c r="B102" s="44">
        <f>'Assumptions '!$B$50*ROUNDUP('Assumptions '!$B$52/'Assumptions '!$B$51,0)*'Assumptions '!$B$51/60</f>
        <v>0.38</v>
      </c>
      <c r="C102" s="12" t="s">
        <v>197</v>
      </c>
      <c r="D102" s="1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10" t="s">
        <v>198</v>
      </c>
      <c r="B103" s="11">
        <f>'Assumptions '!$B$89*(1-'Assumptions '!$B$26)*'Assumptions '!$B$33</f>
        <v>14834.71698</v>
      </c>
      <c r="C103" s="12" t="s">
        <v>30</v>
      </c>
      <c r="D103" s="1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10" t="s">
        <v>199</v>
      </c>
      <c r="B104" s="11">
        <f>'Assumptions '!$B$89*(1-'Assumptions '!$B$95)</f>
        <v>158011.7251</v>
      </c>
      <c r="C104" s="12" t="s">
        <v>30</v>
      </c>
      <c r="D104" s="1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10" t="s">
        <v>200</v>
      </c>
      <c r="B105" s="11">
        <f>'Assumptions '!$B$35*'Assumptions '!$B$104*'Assumptions '!$B$36</f>
        <v>0</v>
      </c>
      <c r="C105" s="12" t="s">
        <v>30</v>
      </c>
      <c r="D105" s="1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10" t="s">
        <v>201</v>
      </c>
      <c r="B106" s="11">
        <f>('Assumptions '!$B$101*'Assumptions '!$B$64+'Assumptions '!$B$88*'Assumptions '!$B$65)*'Assumptions '!$B$66/1000000</f>
        <v>3129.44246</v>
      </c>
      <c r="C106" s="12" t="s">
        <v>202</v>
      </c>
      <c r="D106" s="1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10" t="s">
        <v>203</v>
      </c>
      <c r="B107" s="46">
        <f>'Assumptions '!$B$6-('Assumptions '!$B$99-'Assumptions '!$B$105)/'Assumptions '!$B$88</f>
        <v>0.1726576861</v>
      </c>
      <c r="C107" s="12" t="s">
        <v>32</v>
      </c>
      <c r="D107" s="1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</sheetData>
  <mergeCells count="11">
    <mergeCell ref="A70:D70"/>
    <mergeCell ref="A73:D73"/>
    <mergeCell ref="A81:D81"/>
    <mergeCell ref="A87:D87"/>
    <mergeCell ref="A1:D1"/>
    <mergeCell ref="A3:D3"/>
    <mergeCell ref="A11:D11"/>
    <mergeCell ref="A21:D21"/>
    <mergeCell ref="B22:D22"/>
    <mergeCell ref="A41:D41"/>
    <mergeCell ref="A59:D59"/>
  </mergeCells>
  <hyperlinks>
    <hyperlink r:id="rId1" ref="D5"/>
    <hyperlink r:id="rId2" ref="D6"/>
    <hyperlink r:id="rId3" ref="D12"/>
    <hyperlink r:id="rId4" ref="D13"/>
    <hyperlink r:id="rId5" ref="D14"/>
    <hyperlink r:id="rId6" ref="D15"/>
    <hyperlink r:id="rId7" ref="D16"/>
    <hyperlink r:id="rId8" ref="D17"/>
    <hyperlink r:id="rId9" ref="D18"/>
    <hyperlink r:id="rId10" location="gid=1366391999" ref="D19"/>
    <hyperlink r:id="rId11" ref="D23"/>
    <hyperlink r:id="rId12" ref="D29"/>
    <hyperlink r:id="rId13" ref="D30"/>
    <hyperlink r:id="rId14" ref="D31"/>
    <hyperlink r:id="rId15" ref="D33"/>
    <hyperlink r:id="rId16" ref="D34"/>
    <hyperlink r:id="rId17" ref="D39"/>
    <hyperlink r:id="rId18" ref="D42"/>
    <hyperlink r:id="rId19" ref="D44"/>
    <hyperlink r:id="rId20" ref="D45"/>
    <hyperlink r:id="rId21" ref="D46"/>
    <hyperlink r:id="rId22" ref="D47"/>
    <hyperlink r:id="rId23" ref="D48"/>
    <hyperlink r:id="rId24" ref="D49"/>
    <hyperlink r:id="rId25" ref="D50"/>
    <hyperlink r:id="rId26" ref="D51"/>
    <hyperlink r:id="rId27" ref="D54"/>
    <hyperlink r:id="rId28" ref="D55"/>
    <hyperlink r:id="rId29" ref="D57"/>
    <hyperlink r:id="rId30" ref="D60"/>
    <hyperlink r:id="rId31" ref="D62"/>
    <hyperlink r:id="rId32" ref="D67"/>
  </hyperlinks>
  <printOptions/>
  <pageMargins bottom="1.0" footer="0.0" header="0.0" left="0.75" right="0.75" top="1.0"/>
  <pageSetup fitToHeight="0" orientation="landscape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14" width="13.13"/>
    <col customWidth="1" min="15" max="15" width="14.88"/>
    <col customWidth="1" min="16" max="26" width="7.63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>
      <c r="A3" s="7" t="s">
        <v>21</v>
      </c>
      <c r="B3" s="9">
        <f>'Final WhatsApp'!B5</f>
        <v>0</v>
      </c>
      <c r="C3" s="9">
        <f>'Final WhatsApp'!C5</f>
        <v>1013426.033</v>
      </c>
      <c r="D3" s="9">
        <f>'Final WhatsApp'!D5</f>
        <v>1013426.033</v>
      </c>
      <c r="E3" s="9">
        <f>'Final WhatsApp'!E5</f>
        <v>5067130.167</v>
      </c>
      <c r="F3" s="9">
        <f>'Final WhatsApp'!F5</f>
        <v>10134260.33</v>
      </c>
      <c r="G3" s="9">
        <f>'Final WhatsApp'!G5</f>
        <v>20268520.67</v>
      </c>
      <c r="H3" s="9">
        <f>'Final WhatsApp'!H5</f>
        <v>20268520.67</v>
      </c>
      <c r="I3" s="9">
        <f>'Final WhatsApp'!I5</f>
        <v>20268520.67</v>
      </c>
      <c r="J3" s="9">
        <f>'Final WhatsApp'!J5</f>
        <v>20268520.67</v>
      </c>
      <c r="K3" s="9">
        <f>'Final WhatsApp'!K5</f>
        <v>20268520.67</v>
      </c>
      <c r="L3" s="9">
        <f>'Final WhatsApp'!L5</f>
        <v>20268520.67</v>
      </c>
      <c r="M3" s="9">
        <f>'Final WhatsApp'!M5</f>
        <v>20268520.67</v>
      </c>
      <c r="N3" s="9">
        <f>'Final WhatsApp'!N5</f>
        <v>20268520.67</v>
      </c>
      <c r="O3" s="15">
        <f t="shared" ref="O3:O7" si="1">SUM(B3:N3)</f>
        <v>179376407.9</v>
      </c>
    </row>
    <row r="4">
      <c r="A4" s="7" t="s">
        <v>36</v>
      </c>
      <c r="B4" s="9">
        <f>'Final SMS'!B7</f>
        <v>50000</v>
      </c>
      <c r="C4" s="9">
        <f>'Final SMS'!C7</f>
        <v>432575.5857</v>
      </c>
      <c r="D4" s="9">
        <f>'Final SMS'!D7</f>
        <v>432575.5857</v>
      </c>
      <c r="E4" s="9">
        <f>'Final SMS'!E7</f>
        <v>2128877.928</v>
      </c>
      <c r="F4" s="9">
        <f>'Final SMS'!F7</f>
        <v>4249255.857</v>
      </c>
      <c r="G4" s="9">
        <f>'Final SMS'!G7</f>
        <v>8490011.713</v>
      </c>
      <c r="H4" s="9">
        <f>'Final SMS'!H7</f>
        <v>8490011.713</v>
      </c>
      <c r="I4" s="9">
        <f>'Final SMS'!I7</f>
        <v>8490011.713</v>
      </c>
      <c r="J4" s="9">
        <f>'Final SMS'!J7</f>
        <v>8490011.713</v>
      </c>
      <c r="K4" s="9">
        <f>'Final SMS'!K7</f>
        <v>8490011.713</v>
      </c>
      <c r="L4" s="9">
        <f>'Final SMS'!L7</f>
        <v>8490011.713</v>
      </c>
      <c r="M4" s="9">
        <f>'Final SMS'!M7</f>
        <v>8490011.713</v>
      </c>
      <c r="N4" s="9">
        <f>'Final SMS'!N7</f>
        <v>8490011.713</v>
      </c>
      <c r="O4" s="15">
        <f t="shared" si="1"/>
        <v>75213378.66</v>
      </c>
    </row>
    <row r="5">
      <c r="A5" s="7" t="s">
        <v>39</v>
      </c>
      <c r="B5" s="9">
        <f>'Final IVR'!B5</f>
        <v>0</v>
      </c>
      <c r="C5" s="9">
        <f>'Final IVR'!C5</f>
        <v>56366.15531</v>
      </c>
      <c r="D5" s="9">
        <f>'Final IVR'!D5</f>
        <v>56366.15531</v>
      </c>
      <c r="E5" s="9">
        <f>'Final IVR'!E5</f>
        <v>281830.7766</v>
      </c>
      <c r="F5" s="9">
        <f>'Final IVR'!F5</f>
        <v>563661.5531</v>
      </c>
      <c r="G5" s="9">
        <f>'Final IVR'!G5</f>
        <v>1127323.106</v>
      </c>
      <c r="H5" s="9">
        <f>'Final IVR'!H5</f>
        <v>1127323.106</v>
      </c>
      <c r="I5" s="9">
        <f>'Final IVR'!I5</f>
        <v>1127323.106</v>
      </c>
      <c r="J5" s="9">
        <f>'Final IVR'!J5</f>
        <v>1127323.106</v>
      </c>
      <c r="K5" s="9">
        <f>'Final IVR'!K5</f>
        <v>1127323.106</v>
      </c>
      <c r="L5" s="9">
        <f>'Final IVR'!L5</f>
        <v>1127323.106</v>
      </c>
      <c r="M5" s="9">
        <f>'Final IVR'!M5</f>
        <v>1127323.106</v>
      </c>
      <c r="N5" s="9">
        <f>'Final IVR'!N5</f>
        <v>1127323.106</v>
      </c>
      <c r="O5" s="15">
        <f t="shared" si="1"/>
        <v>9976809.491</v>
      </c>
    </row>
    <row r="6">
      <c r="A6" s="7" t="s">
        <v>49</v>
      </c>
      <c r="B6" s="9">
        <f>'Final Shared Costs'!B15</f>
        <v>690960</v>
      </c>
      <c r="C6" s="9">
        <f>'Final Shared Costs'!C15</f>
        <v>1041570.616</v>
      </c>
      <c r="D6" s="9">
        <f>'Final Shared Costs'!D15</f>
        <v>1041570.616</v>
      </c>
      <c r="E6" s="9">
        <f>'Final Shared Costs'!E15</f>
        <v>4760053.08</v>
      </c>
      <c r="F6" s="9">
        <f>'Final Shared Costs'!F15</f>
        <v>9408156.16</v>
      </c>
      <c r="G6" s="9">
        <f>'Final Shared Costs'!G15</f>
        <v>18704362.32</v>
      </c>
      <c r="H6" s="9">
        <f>'Final Shared Costs'!H15</f>
        <v>18704362.32</v>
      </c>
      <c r="I6" s="9">
        <f>'Final Shared Costs'!I15</f>
        <v>18704362.32</v>
      </c>
      <c r="J6" s="9">
        <f>'Final Shared Costs'!J15</f>
        <v>18704362.32</v>
      </c>
      <c r="K6" s="9">
        <f>'Final Shared Costs'!K15</f>
        <v>18704362.32</v>
      </c>
      <c r="L6" s="9">
        <f>'Final Shared Costs'!L15</f>
        <v>18704362.32</v>
      </c>
      <c r="M6" s="9">
        <f>'Final Shared Costs'!M15</f>
        <v>18704362.32</v>
      </c>
      <c r="N6" s="9">
        <f>'Final Shared Costs'!N15</f>
        <v>18924362.32</v>
      </c>
      <c r="O6" s="15">
        <f t="shared" si="1"/>
        <v>166797209</v>
      </c>
    </row>
    <row r="7">
      <c r="A7" s="17" t="s">
        <v>0</v>
      </c>
      <c r="B7" s="18">
        <f t="shared" ref="B7:N7" si="2">SUM(B3:B6)</f>
        <v>740960</v>
      </c>
      <c r="C7" s="18">
        <f t="shared" si="2"/>
        <v>2543938.39</v>
      </c>
      <c r="D7" s="18">
        <f t="shared" si="2"/>
        <v>2543938.39</v>
      </c>
      <c r="E7" s="18">
        <f t="shared" si="2"/>
        <v>12237891.95</v>
      </c>
      <c r="F7" s="18">
        <f t="shared" si="2"/>
        <v>24355333.9</v>
      </c>
      <c r="G7" s="18">
        <f t="shared" si="2"/>
        <v>48590217.81</v>
      </c>
      <c r="H7" s="18">
        <f t="shared" si="2"/>
        <v>48590217.81</v>
      </c>
      <c r="I7" s="18">
        <f t="shared" si="2"/>
        <v>48590217.81</v>
      </c>
      <c r="J7" s="18">
        <f t="shared" si="2"/>
        <v>48590217.81</v>
      </c>
      <c r="K7" s="18">
        <f t="shared" si="2"/>
        <v>48590217.81</v>
      </c>
      <c r="L7" s="18">
        <f t="shared" si="2"/>
        <v>48590217.81</v>
      </c>
      <c r="M7" s="18">
        <f t="shared" si="2"/>
        <v>48590217.81</v>
      </c>
      <c r="N7" s="18">
        <f t="shared" si="2"/>
        <v>48810217.81</v>
      </c>
      <c r="O7" s="18">
        <f t="shared" si="1"/>
        <v>431363805.1</v>
      </c>
    </row>
    <row r="9">
      <c r="A9" s="2" t="s">
        <v>57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  <c r="L10" s="5" t="s">
        <v>17</v>
      </c>
      <c r="M10" s="5" t="s">
        <v>18</v>
      </c>
      <c r="N10" s="5" t="s">
        <v>19</v>
      </c>
      <c r="O10" s="5" t="s">
        <v>20</v>
      </c>
    </row>
    <row r="11">
      <c r="A11" s="7" t="s">
        <v>58</v>
      </c>
      <c r="B11" s="9">
        <f t="shared" ref="B11:N11" si="3">B7</f>
        <v>740960</v>
      </c>
      <c r="C11" s="9">
        <f t="shared" si="3"/>
        <v>2543938.39</v>
      </c>
      <c r="D11" s="9">
        <f t="shared" si="3"/>
        <v>2543938.39</v>
      </c>
      <c r="E11" s="9">
        <f t="shared" si="3"/>
        <v>12237891.95</v>
      </c>
      <c r="F11" s="9">
        <f t="shared" si="3"/>
        <v>24355333.9</v>
      </c>
      <c r="G11" s="9">
        <f t="shared" si="3"/>
        <v>48590217.81</v>
      </c>
      <c r="H11" s="9">
        <f t="shared" si="3"/>
        <v>48590217.81</v>
      </c>
      <c r="I11" s="9">
        <f t="shared" si="3"/>
        <v>48590217.81</v>
      </c>
      <c r="J11" s="9">
        <f t="shared" si="3"/>
        <v>48590217.81</v>
      </c>
      <c r="K11" s="9">
        <f t="shared" si="3"/>
        <v>48590217.81</v>
      </c>
      <c r="L11" s="9">
        <f t="shared" si="3"/>
        <v>48590217.81</v>
      </c>
      <c r="M11" s="9">
        <f t="shared" si="3"/>
        <v>48590217.81</v>
      </c>
      <c r="N11" s="9">
        <f t="shared" si="3"/>
        <v>48810217.81</v>
      </c>
      <c r="O11" s="15">
        <f t="shared" ref="O11:O13" si="4">SUM(B11:N11)</f>
        <v>431363805.1</v>
      </c>
    </row>
    <row r="12">
      <c r="A12" s="7" t="s">
        <v>62</v>
      </c>
      <c r="B12" s="9">
        <f>'Final Cost Avoided'!B6</f>
        <v>0</v>
      </c>
      <c r="C12" s="9">
        <f>'Final Cost Avoided'!C6</f>
        <v>9600433.244</v>
      </c>
      <c r="D12" s="9">
        <f>'Final Cost Avoided'!D6</f>
        <v>16766306.86</v>
      </c>
      <c r="E12" s="9">
        <f>'Final Cost Avoided'!E6</f>
        <v>55168039.84</v>
      </c>
      <c r="F12" s="9">
        <f>'Final Cost Avoided'!F6</f>
        <v>131833700.5</v>
      </c>
      <c r="G12" s="9">
        <f>'Final Cost Avoided'!G6</f>
        <v>263667401.1</v>
      </c>
      <c r="H12" s="9">
        <f>'Final Cost Avoided'!H6</f>
        <v>335326137.2</v>
      </c>
      <c r="I12" s="9">
        <f>'Final Cost Avoided'!I6</f>
        <v>335326137.2</v>
      </c>
      <c r="J12" s="9">
        <f>'Final Cost Avoided'!J6</f>
        <v>335326137.2</v>
      </c>
      <c r="K12" s="9">
        <f>'Final Cost Avoided'!K6</f>
        <v>335326137.2</v>
      </c>
      <c r="L12" s="9">
        <f>'Final Cost Avoided'!L6</f>
        <v>335326137.2</v>
      </c>
      <c r="M12" s="9">
        <f>'Final Cost Avoided'!M6</f>
        <v>335326137.2</v>
      </c>
      <c r="N12" s="9">
        <f>'Final Cost Avoided'!N6</f>
        <v>335326137.2</v>
      </c>
      <c r="O12" s="15">
        <f t="shared" si="4"/>
        <v>2824318842</v>
      </c>
    </row>
    <row r="13">
      <c r="A13" s="17" t="s">
        <v>66</v>
      </c>
      <c r="B13" s="18">
        <f t="shared" ref="B13:N13" si="5">B12-B11</f>
        <v>-740960</v>
      </c>
      <c r="C13" s="18">
        <f t="shared" si="5"/>
        <v>7056494.854</v>
      </c>
      <c r="D13" s="18">
        <f t="shared" si="5"/>
        <v>14222368.47</v>
      </c>
      <c r="E13" s="18">
        <f t="shared" si="5"/>
        <v>42930147.89</v>
      </c>
      <c r="F13" s="18">
        <f t="shared" si="5"/>
        <v>107478366.6</v>
      </c>
      <c r="G13" s="18">
        <f t="shared" si="5"/>
        <v>215077183.2</v>
      </c>
      <c r="H13" s="18">
        <f t="shared" si="5"/>
        <v>286735919.4</v>
      </c>
      <c r="I13" s="18">
        <f t="shared" si="5"/>
        <v>286735919.4</v>
      </c>
      <c r="J13" s="18">
        <f t="shared" si="5"/>
        <v>286735919.4</v>
      </c>
      <c r="K13" s="18">
        <f t="shared" si="5"/>
        <v>286735919.4</v>
      </c>
      <c r="L13" s="18">
        <f t="shared" si="5"/>
        <v>286735919.4</v>
      </c>
      <c r="M13" s="18">
        <f t="shared" si="5"/>
        <v>286735919.4</v>
      </c>
      <c r="N13" s="18">
        <f t="shared" si="5"/>
        <v>286515919.4</v>
      </c>
      <c r="O13" s="18">
        <f t="shared" si="4"/>
        <v>2392955037</v>
      </c>
    </row>
    <row r="14">
      <c r="A14" s="7" t="s">
        <v>68</v>
      </c>
      <c r="B14" s="9">
        <f>B13</f>
        <v>-740960</v>
      </c>
      <c r="C14" s="9">
        <f t="shared" ref="C14:N14" si="6">B14+C13</f>
        <v>6315534.854</v>
      </c>
      <c r="D14" s="9">
        <f t="shared" si="6"/>
        <v>20537903.32</v>
      </c>
      <c r="E14" s="9">
        <f t="shared" si="6"/>
        <v>63468051.21</v>
      </c>
      <c r="F14" s="9">
        <f t="shared" si="6"/>
        <v>170946417.8</v>
      </c>
      <c r="G14" s="9">
        <f t="shared" si="6"/>
        <v>386023601.1</v>
      </c>
      <c r="H14" s="9">
        <f t="shared" si="6"/>
        <v>672759520.5</v>
      </c>
      <c r="I14" s="9">
        <f t="shared" si="6"/>
        <v>959495439.9</v>
      </c>
      <c r="J14" s="9">
        <f t="shared" si="6"/>
        <v>1246231359</v>
      </c>
      <c r="K14" s="9">
        <f t="shared" si="6"/>
        <v>1532967279</v>
      </c>
      <c r="L14" s="9">
        <f t="shared" si="6"/>
        <v>1819703198</v>
      </c>
      <c r="M14" s="9">
        <f t="shared" si="6"/>
        <v>2106439118</v>
      </c>
      <c r="N14" s="9">
        <f t="shared" si="6"/>
        <v>2392955037</v>
      </c>
      <c r="O14" s="15">
        <f>N14</f>
        <v>2392955037</v>
      </c>
    </row>
    <row r="15">
      <c r="A15" s="7" t="s">
        <v>72</v>
      </c>
      <c r="B15" s="32" t="str">
        <f t="shared" ref="B15:N15" si="7">IF(B14&gt;=0,"Yes","No")</f>
        <v>No</v>
      </c>
      <c r="C15" s="32" t="str">
        <f t="shared" si="7"/>
        <v>Yes</v>
      </c>
      <c r="D15" s="32" t="str">
        <f t="shared" si="7"/>
        <v>Yes</v>
      </c>
      <c r="E15" s="32" t="str">
        <f t="shared" si="7"/>
        <v>Yes</v>
      </c>
      <c r="F15" s="32" t="str">
        <f t="shared" si="7"/>
        <v>Yes</v>
      </c>
      <c r="G15" s="32" t="str">
        <f t="shared" si="7"/>
        <v>Yes</v>
      </c>
      <c r="H15" s="32" t="str">
        <f t="shared" si="7"/>
        <v>Yes</v>
      </c>
      <c r="I15" s="32" t="str">
        <f t="shared" si="7"/>
        <v>Yes</v>
      </c>
      <c r="J15" s="32" t="str">
        <f t="shared" si="7"/>
        <v>Yes</v>
      </c>
      <c r="K15" s="32" t="str">
        <f t="shared" si="7"/>
        <v>Yes</v>
      </c>
      <c r="L15" s="32" t="str">
        <f t="shared" si="7"/>
        <v>Yes</v>
      </c>
      <c r="M15" s="32" t="str">
        <f t="shared" si="7"/>
        <v>Yes</v>
      </c>
      <c r="N15" s="32" t="str">
        <f t="shared" si="7"/>
        <v>Yes</v>
      </c>
      <c r="O15" s="33"/>
    </row>
    <row r="17">
      <c r="A17" s="2" t="s">
        <v>74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>
      <c r="A18" s="5" t="s">
        <v>6</v>
      </c>
      <c r="B18" s="5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12</v>
      </c>
      <c r="H18" s="5" t="s">
        <v>13</v>
      </c>
      <c r="I18" s="5" t="s">
        <v>14</v>
      </c>
      <c r="J18" s="5" t="s">
        <v>15</v>
      </c>
      <c r="K18" s="5" t="s">
        <v>16</v>
      </c>
      <c r="L18" s="5" t="s">
        <v>17</v>
      </c>
      <c r="M18" s="5" t="s">
        <v>18</v>
      </c>
      <c r="N18" s="5" t="s">
        <v>19</v>
      </c>
      <c r="O18" s="5" t="s">
        <v>20</v>
      </c>
    </row>
    <row r="19">
      <c r="A19" s="7" t="s">
        <v>77</v>
      </c>
      <c r="B19" s="35">
        <f>'Payback Analysis '!C$13</f>
        <v>0</v>
      </c>
      <c r="C19" s="35">
        <f>'Payback Analysis '!D$13</f>
        <v>0.05</v>
      </c>
      <c r="D19" s="35">
        <f>'Payback Analysis '!E$13</f>
        <v>0.05</v>
      </c>
      <c r="E19" s="35">
        <f>'Payback Analysis '!F$13</f>
        <v>0.25</v>
      </c>
      <c r="F19" s="35">
        <f>'Payback Analysis '!G$13</f>
        <v>0.5</v>
      </c>
      <c r="G19" s="35">
        <f>'Payback Analysis '!H$13</f>
        <v>1</v>
      </c>
      <c r="H19" s="35">
        <f>'Payback Analysis '!I$13</f>
        <v>1</v>
      </c>
      <c r="I19" s="35">
        <f>'Payback Analysis '!J$13</f>
        <v>1</v>
      </c>
      <c r="J19" s="35">
        <f>'Payback Analysis '!K$13</f>
        <v>1</v>
      </c>
      <c r="K19" s="35">
        <f>'Payback Analysis '!L$13</f>
        <v>1</v>
      </c>
      <c r="L19" s="35">
        <f>'Payback Analysis '!M$13</f>
        <v>1</v>
      </c>
      <c r="M19" s="35">
        <f>'Payback Analysis '!N$13</f>
        <v>1</v>
      </c>
      <c r="N19" s="35">
        <f>'Payback Analysis '!O$13</f>
        <v>1</v>
      </c>
      <c r="O19" s="37">
        <f>AVERAGE(C19:N19)</f>
        <v>0.7375</v>
      </c>
    </row>
    <row r="20">
      <c r="A20" s="7" t="s">
        <v>81</v>
      </c>
      <c r="B20" s="38">
        <f t="shared" ref="B20:N20" si="8">IF(B11=0,"",B12/B11)</f>
        <v>0</v>
      </c>
      <c r="C20" s="38">
        <f t="shared" si="8"/>
        <v>3.7738466</v>
      </c>
      <c r="D20" s="38">
        <f t="shared" si="8"/>
        <v>6.590689038</v>
      </c>
      <c r="E20" s="38">
        <f t="shared" si="8"/>
        <v>4.507969187</v>
      </c>
      <c r="F20" s="38">
        <f t="shared" si="8"/>
        <v>5.412929301</v>
      </c>
      <c r="G20" s="38">
        <f t="shared" si="8"/>
        <v>5.426347379</v>
      </c>
      <c r="H20" s="38">
        <f t="shared" si="8"/>
        <v>6.90110381</v>
      </c>
      <c r="I20" s="38">
        <f t="shared" si="8"/>
        <v>6.90110381</v>
      </c>
      <c r="J20" s="38">
        <f t="shared" si="8"/>
        <v>6.90110381</v>
      </c>
      <c r="K20" s="38">
        <f t="shared" si="8"/>
        <v>6.90110381</v>
      </c>
      <c r="L20" s="38">
        <f t="shared" si="8"/>
        <v>6.90110381</v>
      </c>
      <c r="M20" s="38">
        <f t="shared" si="8"/>
        <v>6.90110381</v>
      </c>
      <c r="N20" s="38">
        <f t="shared" si="8"/>
        <v>6.869998789</v>
      </c>
      <c r="O20" s="40">
        <f>O12/O11</f>
        <v>6.547417305</v>
      </c>
    </row>
    <row r="21" ht="15.75" customHeight="1">
      <c r="A21" s="7" t="s">
        <v>85</v>
      </c>
      <c r="B21" s="23">
        <f>'Final Cost Avoided'!B13+'Final Cost Avoided'!B22+'Final Cost Avoided'!B31</f>
        <v>0</v>
      </c>
      <c r="C21" s="23">
        <f>'Final Cost Avoided'!C13+'Final Cost Avoided'!C22+'Final Cost Avoided'!C31</f>
        <v>80003.61037</v>
      </c>
      <c r="D21" s="23">
        <f>'Final Cost Avoided'!D13+'Final Cost Avoided'!D22+'Final Cost Avoided'!D31</f>
        <v>139719.2238</v>
      </c>
      <c r="E21" s="23">
        <f>'Final Cost Avoided'!E13+'Final Cost Avoided'!E22+'Final Cost Avoided'!E31</f>
        <v>459733.6653</v>
      </c>
      <c r="F21" s="23">
        <f>'Final Cost Avoided'!F13+'Final Cost Avoided'!F22+'Final Cost Avoided'!F31</f>
        <v>1098614.171</v>
      </c>
      <c r="G21" s="23">
        <f>'Final Cost Avoided'!G13+'Final Cost Avoided'!G22+'Final Cost Avoided'!G31</f>
        <v>2197228.342</v>
      </c>
      <c r="H21" s="23">
        <f>'Final Cost Avoided'!H13+'Final Cost Avoided'!H22+'Final Cost Avoided'!H31</f>
        <v>2794384.477</v>
      </c>
      <c r="I21" s="23">
        <f>'Final Cost Avoided'!I13+'Final Cost Avoided'!I22+'Final Cost Avoided'!I31</f>
        <v>2794384.477</v>
      </c>
      <c r="J21" s="23">
        <f>'Final Cost Avoided'!J13+'Final Cost Avoided'!J22+'Final Cost Avoided'!J31</f>
        <v>2794384.477</v>
      </c>
      <c r="K21" s="23">
        <f>'Final Cost Avoided'!K13+'Final Cost Avoided'!K22+'Final Cost Avoided'!K31</f>
        <v>2794384.477</v>
      </c>
      <c r="L21" s="23">
        <f>'Final Cost Avoided'!L13+'Final Cost Avoided'!L22+'Final Cost Avoided'!L31</f>
        <v>2794384.477</v>
      </c>
      <c r="M21" s="23">
        <f>'Final Cost Avoided'!M13+'Final Cost Avoided'!M22+'Final Cost Avoided'!M31</f>
        <v>2794384.477</v>
      </c>
      <c r="N21" s="23">
        <f>'Final Cost Avoided'!N13+'Final Cost Avoided'!N22+'Final Cost Avoided'!N31</f>
        <v>2794384.477</v>
      </c>
      <c r="O21" s="25">
        <f>SUM(B21:N21)</f>
        <v>23535990.35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9:O9"/>
    <mergeCell ref="A17:O17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14" width="13.13"/>
    <col customWidth="1" min="15" max="15" width="14.88"/>
    <col customWidth="1" min="16" max="26" width="7.63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 t="s">
        <v>4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>
      <c r="A3" s="7" t="s">
        <v>22</v>
      </c>
      <c r="B3" s="9">
        <f t="shared" ref="B3:N3" si="1">B15</f>
        <v>0</v>
      </c>
      <c r="C3" s="9">
        <f t="shared" si="1"/>
        <v>8165508.039</v>
      </c>
      <c r="D3" s="9">
        <f t="shared" si="1"/>
        <v>14260337.01</v>
      </c>
      <c r="E3" s="9">
        <f t="shared" si="1"/>
        <v>46922369.16</v>
      </c>
      <c r="F3" s="9">
        <f t="shared" si="1"/>
        <v>112129225.2</v>
      </c>
      <c r="G3" s="9">
        <f t="shared" si="1"/>
        <v>224258450.5</v>
      </c>
      <c r="H3" s="9">
        <f t="shared" si="1"/>
        <v>285206740.1</v>
      </c>
      <c r="I3" s="9">
        <f t="shared" si="1"/>
        <v>285206740.1</v>
      </c>
      <c r="J3" s="9">
        <f t="shared" si="1"/>
        <v>285206740.1</v>
      </c>
      <c r="K3" s="9">
        <f t="shared" si="1"/>
        <v>285206740.1</v>
      </c>
      <c r="L3" s="9">
        <f t="shared" si="1"/>
        <v>285206740.1</v>
      </c>
      <c r="M3" s="9">
        <f t="shared" si="1"/>
        <v>285206740.1</v>
      </c>
      <c r="N3" s="9">
        <f t="shared" si="1"/>
        <v>285206740.1</v>
      </c>
      <c r="O3" s="15">
        <f t="shared" ref="O3:O6" si="3">SUM(B3:N3)</f>
        <v>2402183071</v>
      </c>
    </row>
    <row r="4">
      <c r="A4" s="7" t="s">
        <v>35</v>
      </c>
      <c r="B4" s="9">
        <f t="shared" ref="B4:N4" si="2">B24</f>
        <v>0</v>
      </c>
      <c r="C4" s="9">
        <f t="shared" si="2"/>
        <v>932455.0741</v>
      </c>
      <c r="D4" s="9">
        <f t="shared" si="2"/>
        <v>1628450.249</v>
      </c>
      <c r="E4" s="9">
        <f t="shared" si="2"/>
        <v>5358270.545</v>
      </c>
      <c r="F4" s="9">
        <f t="shared" si="2"/>
        <v>12804526.62</v>
      </c>
      <c r="G4" s="9">
        <f t="shared" si="2"/>
        <v>25609053.23</v>
      </c>
      <c r="H4" s="9">
        <f t="shared" si="2"/>
        <v>32569004.98</v>
      </c>
      <c r="I4" s="9">
        <f t="shared" si="2"/>
        <v>32569004.98</v>
      </c>
      <c r="J4" s="9">
        <f t="shared" si="2"/>
        <v>32569004.98</v>
      </c>
      <c r="K4" s="9">
        <f t="shared" si="2"/>
        <v>32569004.98</v>
      </c>
      <c r="L4" s="9">
        <f t="shared" si="2"/>
        <v>32569004.98</v>
      </c>
      <c r="M4" s="9">
        <f t="shared" si="2"/>
        <v>32569004.98</v>
      </c>
      <c r="N4" s="9">
        <f t="shared" si="2"/>
        <v>32569004.98</v>
      </c>
      <c r="O4" s="15">
        <f t="shared" si="3"/>
        <v>274315790.6</v>
      </c>
    </row>
    <row r="5">
      <c r="A5" s="7" t="s">
        <v>38</v>
      </c>
      <c r="B5" s="9">
        <f t="shared" ref="B5:N5" si="4">B33</f>
        <v>0</v>
      </c>
      <c r="C5" s="9">
        <f t="shared" si="4"/>
        <v>502470.1305</v>
      </c>
      <c r="D5" s="9">
        <f t="shared" si="4"/>
        <v>877519.6059</v>
      </c>
      <c r="E5" s="9">
        <f t="shared" si="4"/>
        <v>2887400.128</v>
      </c>
      <c r="F5" s="9">
        <f t="shared" si="4"/>
        <v>6899948.682</v>
      </c>
      <c r="G5" s="9">
        <f t="shared" si="4"/>
        <v>13799897.36</v>
      </c>
      <c r="H5" s="9">
        <f t="shared" si="4"/>
        <v>17550392.12</v>
      </c>
      <c r="I5" s="9">
        <f t="shared" si="4"/>
        <v>17550392.12</v>
      </c>
      <c r="J5" s="9">
        <f t="shared" si="4"/>
        <v>17550392.12</v>
      </c>
      <c r="K5" s="9">
        <f t="shared" si="4"/>
        <v>17550392.12</v>
      </c>
      <c r="L5" s="9">
        <f t="shared" si="4"/>
        <v>17550392.12</v>
      </c>
      <c r="M5" s="9">
        <f t="shared" si="4"/>
        <v>17550392.12</v>
      </c>
      <c r="N5" s="9">
        <f t="shared" si="4"/>
        <v>17550392.12</v>
      </c>
      <c r="O5" s="15">
        <f t="shared" si="3"/>
        <v>147819980.7</v>
      </c>
    </row>
    <row r="6">
      <c r="A6" s="17" t="s">
        <v>42</v>
      </c>
      <c r="B6" s="18">
        <f t="shared" ref="B6:N6" si="5">SUM(B3:B5)</f>
        <v>0</v>
      </c>
      <c r="C6" s="18">
        <f t="shared" si="5"/>
        <v>9600433.244</v>
      </c>
      <c r="D6" s="18">
        <f t="shared" si="5"/>
        <v>16766306.86</v>
      </c>
      <c r="E6" s="18">
        <f t="shared" si="5"/>
        <v>55168039.84</v>
      </c>
      <c r="F6" s="18">
        <f t="shared" si="5"/>
        <v>131833700.5</v>
      </c>
      <c r="G6" s="18">
        <f t="shared" si="5"/>
        <v>263667401.1</v>
      </c>
      <c r="H6" s="18">
        <f t="shared" si="5"/>
        <v>335326137.2</v>
      </c>
      <c r="I6" s="18">
        <f t="shared" si="5"/>
        <v>335326137.2</v>
      </c>
      <c r="J6" s="18">
        <f t="shared" si="5"/>
        <v>335326137.2</v>
      </c>
      <c r="K6" s="18">
        <f t="shared" si="5"/>
        <v>335326137.2</v>
      </c>
      <c r="L6" s="18">
        <f t="shared" si="5"/>
        <v>335326137.2</v>
      </c>
      <c r="M6" s="18">
        <f t="shared" si="5"/>
        <v>335326137.2</v>
      </c>
      <c r="N6" s="18">
        <f t="shared" si="5"/>
        <v>335326137.2</v>
      </c>
      <c r="O6" s="18">
        <f t="shared" si="3"/>
        <v>2824318842</v>
      </c>
    </row>
    <row r="8">
      <c r="A8" s="2" t="s">
        <v>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  <c r="K9" s="5" t="s">
        <v>16</v>
      </c>
      <c r="L9" s="5" t="s">
        <v>17</v>
      </c>
      <c r="M9" s="5" t="s">
        <v>18</v>
      </c>
      <c r="N9" s="5" t="s">
        <v>19</v>
      </c>
      <c r="O9" s="5" t="s">
        <v>20</v>
      </c>
    </row>
    <row r="10">
      <c r="A10" s="7" t="s">
        <v>53</v>
      </c>
      <c r="B10" s="23">
        <f>'Assumptions '!$B$96</f>
        <v>78138.83291</v>
      </c>
      <c r="C10" s="23">
        <f>'Assumptions '!$B$96</f>
        <v>78138.83291</v>
      </c>
      <c r="D10" s="23">
        <f>'Assumptions '!$B$96</f>
        <v>78138.83291</v>
      </c>
      <c r="E10" s="23">
        <f>'Assumptions '!$B$96</f>
        <v>78138.83291</v>
      </c>
      <c r="F10" s="23">
        <f>'Assumptions '!$B$96</f>
        <v>78138.83291</v>
      </c>
      <c r="G10" s="23">
        <f>'Assumptions '!$B$96</f>
        <v>78138.83291</v>
      </c>
      <c r="H10" s="23">
        <f>'Assumptions '!$B$96</f>
        <v>78138.83291</v>
      </c>
      <c r="I10" s="23">
        <f>'Assumptions '!$B$96</f>
        <v>78138.83291</v>
      </c>
      <c r="J10" s="23">
        <f>'Assumptions '!$B$96</f>
        <v>78138.83291</v>
      </c>
      <c r="K10" s="23">
        <f>'Assumptions '!$B$96</f>
        <v>78138.83291</v>
      </c>
      <c r="L10" s="23">
        <f>'Assumptions '!$B$96</f>
        <v>78138.83291</v>
      </c>
      <c r="M10" s="23">
        <f>'Assumptions '!$B$96</f>
        <v>78138.83291</v>
      </c>
      <c r="N10" s="23">
        <f>'Assumptions '!$B$96</f>
        <v>78138.83291</v>
      </c>
      <c r="O10" s="25"/>
    </row>
    <row r="11">
      <c r="A11" s="7" t="s">
        <v>59</v>
      </c>
      <c r="B11" s="26">
        <f>'Payback Analysis '!C$14</f>
        <v>0</v>
      </c>
      <c r="C11" s="26">
        <f>'Payback Analysis '!D$14</f>
        <v>0.02863013699</v>
      </c>
      <c r="D11" s="26">
        <f>'Payback Analysis '!E$14</f>
        <v>0.05</v>
      </c>
      <c r="E11" s="26">
        <f>'Payback Analysis '!F$14</f>
        <v>0.1645205479</v>
      </c>
      <c r="F11" s="26">
        <f>'Payback Analysis '!G$14</f>
        <v>0.3931506849</v>
      </c>
      <c r="G11" s="26">
        <f>'Payback Analysis '!H$14</f>
        <v>0.7863013699</v>
      </c>
      <c r="H11" s="26">
        <f>'Payback Analysis '!I$14</f>
        <v>1</v>
      </c>
      <c r="I11" s="26">
        <f>'Payback Analysis '!J$14</f>
        <v>1</v>
      </c>
      <c r="J11" s="26">
        <f>'Payback Analysis '!K$14</f>
        <v>1</v>
      </c>
      <c r="K11" s="26">
        <f>'Payback Analysis '!L$14</f>
        <v>1</v>
      </c>
      <c r="L11" s="26">
        <f>'Payback Analysis '!M$14</f>
        <v>1</v>
      </c>
      <c r="M11" s="26">
        <f>'Payback Analysis '!N$14</f>
        <v>1</v>
      </c>
      <c r="N11" s="26">
        <f>'Payback Analysis '!O$14</f>
        <v>1</v>
      </c>
      <c r="O11" s="28"/>
    </row>
    <row r="12">
      <c r="A12" s="7" t="s">
        <v>67</v>
      </c>
      <c r="B12" s="29">
        <f>('Assumptions '!$B$9/12)</f>
        <v>30.41666667</v>
      </c>
      <c r="C12" s="29">
        <f>('Assumptions '!$B$9/12)</f>
        <v>30.41666667</v>
      </c>
      <c r="D12" s="29">
        <f>('Assumptions '!$B$9/12)</f>
        <v>30.41666667</v>
      </c>
      <c r="E12" s="29">
        <f>('Assumptions '!$B$9/12)</f>
        <v>30.41666667</v>
      </c>
      <c r="F12" s="29">
        <f>('Assumptions '!$B$9/12)</f>
        <v>30.41666667</v>
      </c>
      <c r="G12" s="29">
        <f>('Assumptions '!$B$9/12)</f>
        <v>30.41666667</v>
      </c>
      <c r="H12" s="29">
        <f>('Assumptions '!$B$9/12)</f>
        <v>30.41666667</v>
      </c>
      <c r="I12" s="29">
        <f>('Assumptions '!$B$9/12)</f>
        <v>30.41666667</v>
      </c>
      <c r="J12" s="29">
        <f>('Assumptions '!$B$9/12)</f>
        <v>30.41666667</v>
      </c>
      <c r="K12" s="29">
        <f>('Assumptions '!$B$9/12)</f>
        <v>30.41666667</v>
      </c>
      <c r="L12" s="29">
        <f>('Assumptions '!$B$9/12)</f>
        <v>30.41666667</v>
      </c>
      <c r="M12" s="29">
        <f>('Assumptions '!$B$9/12)</f>
        <v>30.41666667</v>
      </c>
      <c r="N12" s="29">
        <f>('Assumptions '!$B$9/12)</f>
        <v>30.41666667</v>
      </c>
      <c r="O12" s="34"/>
    </row>
    <row r="13">
      <c r="A13" s="7" t="s">
        <v>75</v>
      </c>
      <c r="B13" s="23">
        <f t="shared" ref="B13:N13" si="6">B10*B11*B12</f>
        <v>0</v>
      </c>
      <c r="C13" s="23">
        <f t="shared" si="6"/>
        <v>68045.90033</v>
      </c>
      <c r="D13" s="23">
        <f t="shared" si="6"/>
        <v>118836.1417</v>
      </c>
      <c r="E13" s="23">
        <f t="shared" si="6"/>
        <v>391019.743</v>
      </c>
      <c r="F13" s="23">
        <f t="shared" si="6"/>
        <v>934410.2103</v>
      </c>
      <c r="G13" s="23">
        <f t="shared" si="6"/>
        <v>1868820.421</v>
      </c>
      <c r="H13" s="23">
        <f t="shared" si="6"/>
        <v>2376722.834</v>
      </c>
      <c r="I13" s="23">
        <f t="shared" si="6"/>
        <v>2376722.834</v>
      </c>
      <c r="J13" s="23">
        <f t="shared" si="6"/>
        <v>2376722.834</v>
      </c>
      <c r="K13" s="23">
        <f t="shared" si="6"/>
        <v>2376722.834</v>
      </c>
      <c r="L13" s="23">
        <f t="shared" si="6"/>
        <v>2376722.834</v>
      </c>
      <c r="M13" s="23">
        <f t="shared" si="6"/>
        <v>2376722.834</v>
      </c>
      <c r="N13" s="23">
        <f t="shared" si="6"/>
        <v>2376722.834</v>
      </c>
      <c r="O13" s="25">
        <f>SUM(B13:N13)</f>
        <v>20018192.26</v>
      </c>
    </row>
    <row r="14">
      <c r="A14" s="7" t="s">
        <v>79</v>
      </c>
      <c r="B14" s="9">
        <f>'Assumptions '!$B$100</f>
        <v>120</v>
      </c>
      <c r="C14" s="9">
        <f>'Assumptions '!$B$100</f>
        <v>120</v>
      </c>
      <c r="D14" s="9">
        <f>'Assumptions '!$B$100</f>
        <v>120</v>
      </c>
      <c r="E14" s="9">
        <f>'Assumptions '!$B$100</f>
        <v>120</v>
      </c>
      <c r="F14" s="9">
        <f>'Assumptions '!$B$100</f>
        <v>120</v>
      </c>
      <c r="G14" s="9">
        <f>'Assumptions '!$B$100</f>
        <v>120</v>
      </c>
      <c r="H14" s="9">
        <f>'Assumptions '!$B$100</f>
        <v>120</v>
      </c>
      <c r="I14" s="9">
        <f>'Assumptions '!$B$100</f>
        <v>120</v>
      </c>
      <c r="J14" s="9">
        <f>'Assumptions '!$B$100</f>
        <v>120</v>
      </c>
      <c r="K14" s="9">
        <f>'Assumptions '!$B$100</f>
        <v>120</v>
      </c>
      <c r="L14" s="9">
        <f>'Assumptions '!$B$100</f>
        <v>120</v>
      </c>
      <c r="M14" s="9">
        <f>'Assumptions '!$B$100</f>
        <v>120</v>
      </c>
      <c r="N14" s="9">
        <f>'Assumptions '!$B$100</f>
        <v>120</v>
      </c>
      <c r="O14" s="15"/>
    </row>
    <row r="15">
      <c r="A15" s="17" t="s">
        <v>42</v>
      </c>
      <c r="B15" s="39">
        <f t="shared" ref="B15:N15" si="7">B13*B14</f>
        <v>0</v>
      </c>
      <c r="C15" s="39">
        <f t="shared" si="7"/>
        <v>8165508.039</v>
      </c>
      <c r="D15" s="39">
        <f t="shared" si="7"/>
        <v>14260337.01</v>
      </c>
      <c r="E15" s="39">
        <f t="shared" si="7"/>
        <v>46922369.16</v>
      </c>
      <c r="F15" s="39">
        <f t="shared" si="7"/>
        <v>112129225.2</v>
      </c>
      <c r="G15" s="39">
        <f t="shared" si="7"/>
        <v>224258450.5</v>
      </c>
      <c r="H15" s="39">
        <f t="shared" si="7"/>
        <v>285206740.1</v>
      </c>
      <c r="I15" s="39">
        <f t="shared" si="7"/>
        <v>285206740.1</v>
      </c>
      <c r="J15" s="39">
        <f t="shared" si="7"/>
        <v>285206740.1</v>
      </c>
      <c r="K15" s="39">
        <f t="shared" si="7"/>
        <v>285206740.1</v>
      </c>
      <c r="L15" s="39">
        <f t="shared" si="7"/>
        <v>285206740.1</v>
      </c>
      <c r="M15" s="39">
        <f t="shared" si="7"/>
        <v>285206740.1</v>
      </c>
      <c r="N15" s="39">
        <f t="shared" si="7"/>
        <v>285206740.1</v>
      </c>
      <c r="O15" s="18">
        <f>SUM(B15:N15)</f>
        <v>2402183071</v>
      </c>
    </row>
    <row r="17">
      <c r="A17" s="2" t="s">
        <v>88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>
      <c r="A18" s="5" t="s">
        <v>6</v>
      </c>
      <c r="B18" s="5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12</v>
      </c>
      <c r="H18" s="5" t="s">
        <v>13</v>
      </c>
      <c r="I18" s="5" t="s">
        <v>14</v>
      </c>
      <c r="J18" s="5" t="s">
        <v>15</v>
      </c>
      <c r="K18" s="5" t="s">
        <v>16</v>
      </c>
      <c r="L18" s="5" t="s">
        <v>17</v>
      </c>
      <c r="M18" s="5" t="s">
        <v>18</v>
      </c>
      <c r="N18" s="5" t="s">
        <v>19</v>
      </c>
      <c r="O18" s="5" t="s">
        <v>20</v>
      </c>
    </row>
    <row r="19">
      <c r="A19" s="7" t="s">
        <v>53</v>
      </c>
      <c r="B19" s="23">
        <f>'Assumptions '!$B$97</f>
        <v>8923.015063</v>
      </c>
      <c r="C19" s="23">
        <f>'Assumptions '!$B$97</f>
        <v>8923.015063</v>
      </c>
      <c r="D19" s="23">
        <f>'Assumptions '!$B$97</f>
        <v>8923.015063</v>
      </c>
      <c r="E19" s="23">
        <f>'Assumptions '!$B$97</f>
        <v>8923.015063</v>
      </c>
      <c r="F19" s="23">
        <f>'Assumptions '!$B$97</f>
        <v>8923.015063</v>
      </c>
      <c r="G19" s="23">
        <f>'Assumptions '!$B$97</f>
        <v>8923.015063</v>
      </c>
      <c r="H19" s="23">
        <f>'Assumptions '!$B$97</f>
        <v>8923.015063</v>
      </c>
      <c r="I19" s="23">
        <f>'Assumptions '!$B$97</f>
        <v>8923.015063</v>
      </c>
      <c r="J19" s="23">
        <f>'Assumptions '!$B$97</f>
        <v>8923.015063</v>
      </c>
      <c r="K19" s="23">
        <f>'Assumptions '!$B$97</f>
        <v>8923.015063</v>
      </c>
      <c r="L19" s="23">
        <f>'Assumptions '!$B$97</f>
        <v>8923.015063</v>
      </c>
      <c r="M19" s="23">
        <f>'Assumptions '!$B$97</f>
        <v>8923.015063</v>
      </c>
      <c r="N19" s="23">
        <f>'Assumptions '!$B$97</f>
        <v>8923.015063</v>
      </c>
      <c r="O19" s="25"/>
    </row>
    <row r="20">
      <c r="A20" s="7" t="s">
        <v>59</v>
      </c>
      <c r="B20" s="26">
        <f>'Payback Analysis '!C$14</f>
        <v>0</v>
      </c>
      <c r="C20" s="26">
        <f>'Payback Analysis '!D$14</f>
        <v>0.02863013699</v>
      </c>
      <c r="D20" s="26">
        <f>'Payback Analysis '!E$14</f>
        <v>0.05</v>
      </c>
      <c r="E20" s="26">
        <f>'Payback Analysis '!F$14</f>
        <v>0.1645205479</v>
      </c>
      <c r="F20" s="26">
        <f>'Payback Analysis '!G$14</f>
        <v>0.3931506849</v>
      </c>
      <c r="G20" s="26">
        <f>'Payback Analysis '!H$14</f>
        <v>0.7863013699</v>
      </c>
      <c r="H20" s="26">
        <f>'Payback Analysis '!I$14</f>
        <v>1</v>
      </c>
      <c r="I20" s="26">
        <f>'Payback Analysis '!J$14</f>
        <v>1</v>
      </c>
      <c r="J20" s="26">
        <f>'Payback Analysis '!K$14</f>
        <v>1</v>
      </c>
      <c r="K20" s="26">
        <f>'Payback Analysis '!L$14</f>
        <v>1</v>
      </c>
      <c r="L20" s="26">
        <f>'Payback Analysis '!M$14</f>
        <v>1</v>
      </c>
      <c r="M20" s="26">
        <f>'Payback Analysis '!N$14</f>
        <v>1</v>
      </c>
      <c r="N20" s="26">
        <f>'Payback Analysis '!O$14</f>
        <v>1</v>
      </c>
      <c r="O20" s="28"/>
    </row>
    <row r="21" ht="15.75" customHeight="1">
      <c r="A21" s="7" t="s">
        <v>67</v>
      </c>
      <c r="B21" s="29">
        <f>('Assumptions '!$B$9/12)</f>
        <v>30.41666667</v>
      </c>
      <c r="C21" s="29">
        <f>('Assumptions '!$B$9/12)</f>
        <v>30.41666667</v>
      </c>
      <c r="D21" s="29">
        <f>('Assumptions '!$B$9/12)</f>
        <v>30.41666667</v>
      </c>
      <c r="E21" s="29">
        <f>('Assumptions '!$B$9/12)</f>
        <v>30.41666667</v>
      </c>
      <c r="F21" s="29">
        <f>('Assumptions '!$B$9/12)</f>
        <v>30.41666667</v>
      </c>
      <c r="G21" s="29">
        <f>('Assumptions '!$B$9/12)</f>
        <v>30.41666667</v>
      </c>
      <c r="H21" s="29">
        <f>('Assumptions '!$B$9/12)</f>
        <v>30.41666667</v>
      </c>
      <c r="I21" s="29">
        <f>('Assumptions '!$B$9/12)</f>
        <v>30.41666667</v>
      </c>
      <c r="J21" s="29">
        <f>('Assumptions '!$B$9/12)</f>
        <v>30.41666667</v>
      </c>
      <c r="K21" s="29">
        <f>('Assumptions '!$B$9/12)</f>
        <v>30.41666667</v>
      </c>
      <c r="L21" s="29">
        <f>('Assumptions '!$B$9/12)</f>
        <v>30.41666667</v>
      </c>
      <c r="M21" s="29">
        <f>('Assumptions '!$B$9/12)</f>
        <v>30.41666667</v>
      </c>
      <c r="N21" s="29">
        <f>('Assumptions '!$B$9/12)</f>
        <v>30.41666667</v>
      </c>
      <c r="O21" s="34"/>
    </row>
    <row r="22" ht="15.75" customHeight="1">
      <c r="A22" s="7" t="s">
        <v>75</v>
      </c>
      <c r="B22" s="23">
        <f t="shared" ref="B22:N22" si="8">B19*B20*B21</f>
        <v>0</v>
      </c>
      <c r="C22" s="23">
        <f t="shared" si="8"/>
        <v>7770.458951</v>
      </c>
      <c r="D22" s="23">
        <f t="shared" si="8"/>
        <v>13570.41874</v>
      </c>
      <c r="E22" s="23">
        <f t="shared" si="8"/>
        <v>44652.25454</v>
      </c>
      <c r="F22" s="23">
        <f t="shared" si="8"/>
        <v>106704.3885</v>
      </c>
      <c r="G22" s="23">
        <f t="shared" si="8"/>
        <v>213408.7769</v>
      </c>
      <c r="H22" s="23">
        <f t="shared" si="8"/>
        <v>271408.3748</v>
      </c>
      <c r="I22" s="23">
        <f t="shared" si="8"/>
        <v>271408.3748</v>
      </c>
      <c r="J22" s="23">
        <f t="shared" si="8"/>
        <v>271408.3748</v>
      </c>
      <c r="K22" s="23">
        <f t="shared" si="8"/>
        <v>271408.3748</v>
      </c>
      <c r="L22" s="23">
        <f t="shared" si="8"/>
        <v>271408.3748</v>
      </c>
      <c r="M22" s="23">
        <f t="shared" si="8"/>
        <v>271408.3748</v>
      </c>
      <c r="N22" s="23">
        <f t="shared" si="8"/>
        <v>271408.3748</v>
      </c>
      <c r="O22" s="25">
        <f>SUM(B22:N22)</f>
        <v>2285964.921</v>
      </c>
    </row>
    <row r="23" ht="15.75" customHeight="1">
      <c r="A23" s="7" t="s">
        <v>79</v>
      </c>
      <c r="B23" s="9">
        <f>'Assumptions '!$B$100</f>
        <v>120</v>
      </c>
      <c r="C23" s="9">
        <f>'Assumptions '!$B$100</f>
        <v>120</v>
      </c>
      <c r="D23" s="9">
        <f>'Assumptions '!$B$100</f>
        <v>120</v>
      </c>
      <c r="E23" s="9">
        <f>'Assumptions '!$B$100</f>
        <v>120</v>
      </c>
      <c r="F23" s="9">
        <f>'Assumptions '!$B$100</f>
        <v>120</v>
      </c>
      <c r="G23" s="9">
        <f>'Assumptions '!$B$100</f>
        <v>120</v>
      </c>
      <c r="H23" s="9">
        <f>'Assumptions '!$B$100</f>
        <v>120</v>
      </c>
      <c r="I23" s="9">
        <f>'Assumptions '!$B$100</f>
        <v>120</v>
      </c>
      <c r="J23" s="9">
        <f>'Assumptions '!$B$100</f>
        <v>120</v>
      </c>
      <c r="K23" s="9">
        <f>'Assumptions '!$B$100</f>
        <v>120</v>
      </c>
      <c r="L23" s="9">
        <f>'Assumptions '!$B$100</f>
        <v>120</v>
      </c>
      <c r="M23" s="9">
        <f>'Assumptions '!$B$100</f>
        <v>120</v>
      </c>
      <c r="N23" s="9">
        <f>'Assumptions '!$B$100</f>
        <v>120</v>
      </c>
      <c r="O23" s="15"/>
    </row>
    <row r="24" ht="15.75" customHeight="1">
      <c r="A24" s="17" t="s">
        <v>42</v>
      </c>
      <c r="B24" s="39">
        <f t="shared" ref="B24:N24" si="9">B22*B23</f>
        <v>0</v>
      </c>
      <c r="C24" s="39">
        <f t="shared" si="9"/>
        <v>932455.0741</v>
      </c>
      <c r="D24" s="39">
        <f t="shared" si="9"/>
        <v>1628450.249</v>
      </c>
      <c r="E24" s="39">
        <f t="shared" si="9"/>
        <v>5358270.545</v>
      </c>
      <c r="F24" s="39">
        <f t="shared" si="9"/>
        <v>12804526.62</v>
      </c>
      <c r="G24" s="39">
        <f t="shared" si="9"/>
        <v>25609053.23</v>
      </c>
      <c r="H24" s="39">
        <f t="shared" si="9"/>
        <v>32569004.98</v>
      </c>
      <c r="I24" s="39">
        <f t="shared" si="9"/>
        <v>32569004.98</v>
      </c>
      <c r="J24" s="39">
        <f t="shared" si="9"/>
        <v>32569004.98</v>
      </c>
      <c r="K24" s="39">
        <f t="shared" si="9"/>
        <v>32569004.98</v>
      </c>
      <c r="L24" s="39">
        <f t="shared" si="9"/>
        <v>32569004.98</v>
      </c>
      <c r="M24" s="39">
        <f t="shared" si="9"/>
        <v>32569004.98</v>
      </c>
      <c r="N24" s="39">
        <f t="shared" si="9"/>
        <v>32569004.98</v>
      </c>
      <c r="O24" s="18">
        <f>SUM(B24:N24)</f>
        <v>274315790.6</v>
      </c>
    </row>
    <row r="25" ht="15.75" customHeight="1"/>
    <row r="26" ht="15.75" customHeight="1">
      <c r="A26" s="2" t="s">
        <v>122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</row>
    <row r="27" ht="15.75" customHeight="1">
      <c r="A27" s="5" t="s">
        <v>6</v>
      </c>
      <c r="B27" s="5" t="s">
        <v>7</v>
      </c>
      <c r="C27" s="5" t="s">
        <v>8</v>
      </c>
      <c r="D27" s="5" t="s">
        <v>9</v>
      </c>
      <c r="E27" s="5" t="s">
        <v>10</v>
      </c>
      <c r="F27" s="5" t="s">
        <v>11</v>
      </c>
      <c r="G27" s="5" t="s">
        <v>12</v>
      </c>
      <c r="H27" s="5" t="s">
        <v>13</v>
      </c>
      <c r="I27" s="5" t="s">
        <v>14</v>
      </c>
      <c r="J27" s="5" t="s">
        <v>15</v>
      </c>
      <c r="K27" s="5" t="s">
        <v>16</v>
      </c>
      <c r="L27" s="5" t="s">
        <v>17</v>
      </c>
      <c r="M27" s="5" t="s">
        <v>18</v>
      </c>
      <c r="N27" s="5" t="s">
        <v>19</v>
      </c>
      <c r="O27" s="5" t="s">
        <v>20</v>
      </c>
    </row>
    <row r="28" ht="15.75" customHeight="1">
      <c r="A28" s="7" t="s">
        <v>53</v>
      </c>
      <c r="B28" s="23">
        <f>'Assumptions '!$B$98</f>
        <v>4808.326607</v>
      </c>
      <c r="C28" s="23">
        <f>'Assumptions '!$B$98</f>
        <v>4808.326607</v>
      </c>
      <c r="D28" s="23">
        <f>'Assumptions '!$B$98</f>
        <v>4808.326607</v>
      </c>
      <c r="E28" s="23">
        <f>'Assumptions '!$B$98</f>
        <v>4808.326607</v>
      </c>
      <c r="F28" s="23">
        <f>'Assumptions '!$B$98</f>
        <v>4808.326607</v>
      </c>
      <c r="G28" s="23">
        <f>'Assumptions '!$B$98</f>
        <v>4808.326607</v>
      </c>
      <c r="H28" s="23">
        <f>'Assumptions '!$B$98</f>
        <v>4808.326607</v>
      </c>
      <c r="I28" s="23">
        <f>'Assumptions '!$B$98</f>
        <v>4808.326607</v>
      </c>
      <c r="J28" s="23">
        <f>'Assumptions '!$B$98</f>
        <v>4808.326607</v>
      </c>
      <c r="K28" s="23">
        <f>'Assumptions '!$B$98</f>
        <v>4808.326607</v>
      </c>
      <c r="L28" s="23">
        <f>'Assumptions '!$B$98</f>
        <v>4808.326607</v>
      </c>
      <c r="M28" s="23">
        <f>'Assumptions '!$B$98</f>
        <v>4808.326607</v>
      </c>
      <c r="N28" s="23">
        <f>'Assumptions '!$B$98</f>
        <v>4808.326607</v>
      </c>
      <c r="O28" s="25"/>
    </row>
    <row r="29" ht="15.75" customHeight="1">
      <c r="A29" s="7" t="s">
        <v>59</v>
      </c>
      <c r="B29" s="26">
        <f>'Payback Analysis '!C$14</f>
        <v>0</v>
      </c>
      <c r="C29" s="26">
        <f>'Payback Analysis '!D$14</f>
        <v>0.02863013699</v>
      </c>
      <c r="D29" s="26">
        <f>'Payback Analysis '!E$14</f>
        <v>0.05</v>
      </c>
      <c r="E29" s="26">
        <f>'Payback Analysis '!F$14</f>
        <v>0.1645205479</v>
      </c>
      <c r="F29" s="26">
        <f>'Payback Analysis '!G$14</f>
        <v>0.3931506849</v>
      </c>
      <c r="G29" s="26">
        <f>'Payback Analysis '!H$14</f>
        <v>0.7863013699</v>
      </c>
      <c r="H29" s="26">
        <f>'Payback Analysis '!I$14</f>
        <v>1</v>
      </c>
      <c r="I29" s="26">
        <f>'Payback Analysis '!J$14</f>
        <v>1</v>
      </c>
      <c r="J29" s="26">
        <f>'Payback Analysis '!K$14</f>
        <v>1</v>
      </c>
      <c r="K29" s="26">
        <f>'Payback Analysis '!L$14</f>
        <v>1</v>
      </c>
      <c r="L29" s="26">
        <f>'Payback Analysis '!M$14</f>
        <v>1</v>
      </c>
      <c r="M29" s="26">
        <f>'Payback Analysis '!N$14</f>
        <v>1</v>
      </c>
      <c r="N29" s="26">
        <f>'Payback Analysis '!O$14</f>
        <v>1</v>
      </c>
      <c r="O29" s="28"/>
    </row>
    <row r="30" ht="15.75" customHeight="1">
      <c r="A30" s="7" t="s">
        <v>67</v>
      </c>
      <c r="B30" s="29">
        <f>('Assumptions '!$B$9/12)</f>
        <v>30.41666667</v>
      </c>
      <c r="C30" s="29">
        <f>('Assumptions '!$B$9/12)</f>
        <v>30.41666667</v>
      </c>
      <c r="D30" s="29">
        <f>('Assumptions '!$B$9/12)</f>
        <v>30.41666667</v>
      </c>
      <c r="E30" s="29">
        <f>('Assumptions '!$B$9/12)</f>
        <v>30.41666667</v>
      </c>
      <c r="F30" s="29">
        <f>('Assumptions '!$B$9/12)</f>
        <v>30.41666667</v>
      </c>
      <c r="G30" s="29">
        <f>('Assumptions '!$B$9/12)</f>
        <v>30.41666667</v>
      </c>
      <c r="H30" s="29">
        <f>('Assumptions '!$B$9/12)</f>
        <v>30.41666667</v>
      </c>
      <c r="I30" s="29">
        <f>('Assumptions '!$B$9/12)</f>
        <v>30.41666667</v>
      </c>
      <c r="J30" s="29">
        <f>('Assumptions '!$B$9/12)</f>
        <v>30.41666667</v>
      </c>
      <c r="K30" s="29">
        <f>('Assumptions '!$B$9/12)</f>
        <v>30.41666667</v>
      </c>
      <c r="L30" s="29">
        <f>('Assumptions '!$B$9/12)</f>
        <v>30.41666667</v>
      </c>
      <c r="M30" s="29">
        <f>('Assumptions '!$B$9/12)</f>
        <v>30.41666667</v>
      </c>
      <c r="N30" s="29">
        <f>('Assumptions '!$B$9/12)</f>
        <v>30.41666667</v>
      </c>
      <c r="O30" s="34"/>
    </row>
    <row r="31" ht="15.75" customHeight="1">
      <c r="A31" s="7" t="s">
        <v>75</v>
      </c>
      <c r="B31" s="23">
        <f t="shared" ref="B31:N31" si="10">B28*B29*B30</f>
        <v>0</v>
      </c>
      <c r="C31" s="23">
        <f t="shared" si="10"/>
        <v>4187.251087</v>
      </c>
      <c r="D31" s="23">
        <f t="shared" si="10"/>
        <v>7312.663382</v>
      </c>
      <c r="E31" s="23">
        <f t="shared" si="10"/>
        <v>24061.66773</v>
      </c>
      <c r="F31" s="23">
        <f t="shared" si="10"/>
        <v>57499.57235</v>
      </c>
      <c r="G31" s="23">
        <f t="shared" si="10"/>
        <v>114999.1447</v>
      </c>
      <c r="H31" s="23">
        <f t="shared" si="10"/>
        <v>146253.2676</v>
      </c>
      <c r="I31" s="23">
        <f t="shared" si="10"/>
        <v>146253.2676</v>
      </c>
      <c r="J31" s="23">
        <f t="shared" si="10"/>
        <v>146253.2676</v>
      </c>
      <c r="K31" s="23">
        <f t="shared" si="10"/>
        <v>146253.2676</v>
      </c>
      <c r="L31" s="23">
        <f t="shared" si="10"/>
        <v>146253.2676</v>
      </c>
      <c r="M31" s="23">
        <f t="shared" si="10"/>
        <v>146253.2676</v>
      </c>
      <c r="N31" s="23">
        <f t="shared" si="10"/>
        <v>146253.2676</v>
      </c>
      <c r="O31" s="25">
        <f>SUM(B31:N31)</f>
        <v>1231833.173</v>
      </c>
    </row>
    <row r="32" ht="15.75" customHeight="1">
      <c r="A32" s="7" t="s">
        <v>79</v>
      </c>
      <c r="B32" s="9">
        <f>'Assumptions '!$B$100</f>
        <v>120</v>
      </c>
      <c r="C32" s="9">
        <f>'Assumptions '!$B$100</f>
        <v>120</v>
      </c>
      <c r="D32" s="9">
        <f>'Assumptions '!$B$100</f>
        <v>120</v>
      </c>
      <c r="E32" s="9">
        <f>'Assumptions '!$B$100</f>
        <v>120</v>
      </c>
      <c r="F32" s="9">
        <f>'Assumptions '!$B$100</f>
        <v>120</v>
      </c>
      <c r="G32" s="9">
        <f>'Assumptions '!$B$100</f>
        <v>120</v>
      </c>
      <c r="H32" s="9">
        <f>'Assumptions '!$B$100</f>
        <v>120</v>
      </c>
      <c r="I32" s="9">
        <f>'Assumptions '!$B$100</f>
        <v>120</v>
      </c>
      <c r="J32" s="9">
        <f>'Assumptions '!$B$100</f>
        <v>120</v>
      </c>
      <c r="K32" s="9">
        <f>'Assumptions '!$B$100</f>
        <v>120</v>
      </c>
      <c r="L32" s="9">
        <f>'Assumptions '!$B$100</f>
        <v>120</v>
      </c>
      <c r="M32" s="9">
        <f>'Assumptions '!$B$100</f>
        <v>120</v>
      </c>
      <c r="N32" s="9">
        <f>'Assumptions '!$B$100</f>
        <v>120</v>
      </c>
      <c r="O32" s="15"/>
    </row>
    <row r="33" ht="15.75" customHeight="1">
      <c r="A33" s="17" t="s">
        <v>42</v>
      </c>
      <c r="B33" s="39">
        <f t="shared" ref="B33:N33" si="11">B31*B32</f>
        <v>0</v>
      </c>
      <c r="C33" s="39">
        <f t="shared" si="11"/>
        <v>502470.1305</v>
      </c>
      <c r="D33" s="39">
        <f t="shared" si="11"/>
        <v>877519.6059</v>
      </c>
      <c r="E33" s="39">
        <f t="shared" si="11"/>
        <v>2887400.128</v>
      </c>
      <c r="F33" s="39">
        <f t="shared" si="11"/>
        <v>6899948.682</v>
      </c>
      <c r="G33" s="39">
        <f t="shared" si="11"/>
        <v>13799897.36</v>
      </c>
      <c r="H33" s="39">
        <f t="shared" si="11"/>
        <v>17550392.12</v>
      </c>
      <c r="I33" s="39">
        <f t="shared" si="11"/>
        <v>17550392.12</v>
      </c>
      <c r="J33" s="39">
        <f t="shared" si="11"/>
        <v>17550392.12</v>
      </c>
      <c r="K33" s="39">
        <f t="shared" si="11"/>
        <v>17550392.12</v>
      </c>
      <c r="L33" s="39">
        <f t="shared" si="11"/>
        <v>17550392.12</v>
      </c>
      <c r="M33" s="39">
        <f t="shared" si="11"/>
        <v>17550392.12</v>
      </c>
      <c r="N33" s="39">
        <f t="shared" si="11"/>
        <v>17550392.12</v>
      </c>
      <c r="O33" s="18">
        <f>SUM(B33:N33)</f>
        <v>147819980.7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8:O8"/>
    <mergeCell ref="A17:O17"/>
    <mergeCell ref="A26:O26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14" width="13.13"/>
    <col customWidth="1" min="15" max="15" width="14.88"/>
    <col customWidth="1" min="16" max="26" width="7.63"/>
  </cols>
  <sheetData>
    <row r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 t="s">
        <v>5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>
      <c r="A3" s="7" t="s">
        <v>26</v>
      </c>
      <c r="B3" s="9">
        <f t="shared" ref="B3:N3" si="1">B14</f>
        <v>0</v>
      </c>
      <c r="C3" s="9">
        <f t="shared" si="1"/>
        <v>921296.394</v>
      </c>
      <c r="D3" s="9">
        <f t="shared" si="1"/>
        <v>921296.394</v>
      </c>
      <c r="E3" s="9">
        <f t="shared" si="1"/>
        <v>4606481.97</v>
      </c>
      <c r="F3" s="9">
        <f t="shared" si="1"/>
        <v>9212963.94</v>
      </c>
      <c r="G3" s="9">
        <f t="shared" si="1"/>
        <v>18425927.88</v>
      </c>
      <c r="H3" s="9">
        <f t="shared" si="1"/>
        <v>18425927.88</v>
      </c>
      <c r="I3" s="9">
        <f t="shared" si="1"/>
        <v>18425927.88</v>
      </c>
      <c r="J3" s="9">
        <f t="shared" si="1"/>
        <v>18425927.88</v>
      </c>
      <c r="K3" s="9">
        <f t="shared" si="1"/>
        <v>18425927.88</v>
      </c>
      <c r="L3" s="9">
        <f t="shared" si="1"/>
        <v>18425927.88</v>
      </c>
      <c r="M3" s="9">
        <f t="shared" si="1"/>
        <v>18425927.88</v>
      </c>
      <c r="N3" s="9">
        <f t="shared" si="1"/>
        <v>18425927.88</v>
      </c>
      <c r="O3" s="15">
        <f t="shared" ref="O3:O5" si="3">SUM(B3:N3)</f>
        <v>163069461.7</v>
      </c>
    </row>
    <row r="4">
      <c r="A4" s="7" t="s">
        <v>34</v>
      </c>
      <c r="B4" s="9">
        <f t="shared" ref="B4:N4" si="2">B20</f>
        <v>0</v>
      </c>
      <c r="C4" s="9">
        <f t="shared" si="2"/>
        <v>92129.6394</v>
      </c>
      <c r="D4" s="9">
        <f t="shared" si="2"/>
        <v>92129.6394</v>
      </c>
      <c r="E4" s="9">
        <f t="shared" si="2"/>
        <v>460648.197</v>
      </c>
      <c r="F4" s="9">
        <f t="shared" si="2"/>
        <v>921296.394</v>
      </c>
      <c r="G4" s="9">
        <f t="shared" si="2"/>
        <v>1842592.788</v>
      </c>
      <c r="H4" s="9">
        <f t="shared" si="2"/>
        <v>1842592.788</v>
      </c>
      <c r="I4" s="9">
        <f t="shared" si="2"/>
        <v>1842592.788</v>
      </c>
      <c r="J4" s="9">
        <f t="shared" si="2"/>
        <v>1842592.788</v>
      </c>
      <c r="K4" s="9">
        <f t="shared" si="2"/>
        <v>1842592.788</v>
      </c>
      <c r="L4" s="9">
        <f t="shared" si="2"/>
        <v>1842592.788</v>
      </c>
      <c r="M4" s="9">
        <f t="shared" si="2"/>
        <v>1842592.788</v>
      </c>
      <c r="N4" s="9">
        <f t="shared" si="2"/>
        <v>1842592.788</v>
      </c>
      <c r="O4" s="15">
        <f t="shared" si="3"/>
        <v>16306946.17</v>
      </c>
    </row>
    <row r="5">
      <c r="A5" s="17" t="s">
        <v>0</v>
      </c>
      <c r="B5" s="18">
        <f t="shared" ref="B5:N5" si="4">SUM(B3:B4)</f>
        <v>0</v>
      </c>
      <c r="C5" s="18">
        <f t="shared" si="4"/>
        <v>1013426.033</v>
      </c>
      <c r="D5" s="18">
        <f t="shared" si="4"/>
        <v>1013426.033</v>
      </c>
      <c r="E5" s="18">
        <f t="shared" si="4"/>
        <v>5067130.167</v>
      </c>
      <c r="F5" s="18">
        <f t="shared" si="4"/>
        <v>10134260.33</v>
      </c>
      <c r="G5" s="18">
        <f t="shared" si="4"/>
        <v>20268520.67</v>
      </c>
      <c r="H5" s="18">
        <f t="shared" si="4"/>
        <v>20268520.67</v>
      </c>
      <c r="I5" s="18">
        <f t="shared" si="4"/>
        <v>20268520.67</v>
      </c>
      <c r="J5" s="18">
        <f t="shared" si="4"/>
        <v>20268520.67</v>
      </c>
      <c r="K5" s="18">
        <f t="shared" si="4"/>
        <v>20268520.67</v>
      </c>
      <c r="L5" s="18">
        <f t="shared" si="4"/>
        <v>20268520.67</v>
      </c>
      <c r="M5" s="18">
        <f t="shared" si="4"/>
        <v>20268520.67</v>
      </c>
      <c r="N5" s="18">
        <f t="shared" si="4"/>
        <v>20268520.67</v>
      </c>
      <c r="O5" s="18">
        <f t="shared" si="3"/>
        <v>179376407.9</v>
      </c>
    </row>
    <row r="7">
      <c r="A7" s="2" t="s">
        <v>46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5" t="s">
        <v>18</v>
      </c>
      <c r="N8" s="5" t="s">
        <v>19</v>
      </c>
      <c r="O8" s="5" t="s">
        <v>20</v>
      </c>
    </row>
    <row r="9">
      <c r="A9" s="7" t="s">
        <v>50</v>
      </c>
      <c r="B9" s="23">
        <f>'Assumptions '!$B$88*'Payback Analysis '!C$13</f>
        <v>0</v>
      </c>
      <c r="C9" s="23">
        <f>'Assumptions '!$B$88*'Payback Analysis '!D$13</f>
        <v>168000</v>
      </c>
      <c r="D9" s="23">
        <f>'Assumptions '!$B$88*'Payback Analysis '!E$13</f>
        <v>168000</v>
      </c>
      <c r="E9" s="23">
        <f>'Assumptions '!$B$88*'Payback Analysis '!F$13</f>
        <v>840000</v>
      </c>
      <c r="F9" s="23">
        <f>'Assumptions '!$B$88*'Payback Analysis '!G$13</f>
        <v>1680000</v>
      </c>
      <c r="G9" s="23">
        <f>'Assumptions '!$B$88*'Payback Analysis '!H$13</f>
        <v>3360000</v>
      </c>
      <c r="H9" s="23">
        <f>'Assumptions '!$B$88*'Payback Analysis '!I$13</f>
        <v>3360000</v>
      </c>
      <c r="I9" s="23">
        <f>'Assumptions '!$B$88*'Payback Analysis '!J$13</f>
        <v>3360000</v>
      </c>
      <c r="J9" s="23">
        <f>'Assumptions '!$B$88*'Payback Analysis '!K$13</f>
        <v>3360000</v>
      </c>
      <c r="K9" s="23">
        <f>'Assumptions '!$B$88*'Payback Analysis '!L$13</f>
        <v>3360000</v>
      </c>
      <c r="L9" s="23">
        <f>'Assumptions '!$B$88*'Payback Analysis '!M$13</f>
        <v>3360000</v>
      </c>
      <c r="M9" s="23">
        <f>'Assumptions '!$B$88*'Payback Analysis '!N$13</f>
        <v>3360000</v>
      </c>
      <c r="N9" s="23">
        <f>'Assumptions '!$B$88*'Payback Analysis '!O$13</f>
        <v>3360000</v>
      </c>
      <c r="O9" s="25"/>
    </row>
    <row r="10">
      <c r="A10" s="7" t="s">
        <v>60</v>
      </c>
      <c r="B10" s="27">
        <f>'Assumptions '!$B$43+'Assumptions '!$B$24*'Assumptions '!$B$44</f>
        <v>1.567763795</v>
      </c>
      <c r="C10" s="27">
        <f>'Assumptions '!$B$43+'Assumptions '!$B$24*'Assumptions '!$B$44</f>
        <v>1.567763795</v>
      </c>
      <c r="D10" s="27">
        <f>'Assumptions '!$B$43+'Assumptions '!$B$24*'Assumptions '!$B$44</f>
        <v>1.567763795</v>
      </c>
      <c r="E10" s="27">
        <f>'Assumptions '!$B$43+'Assumptions '!$B$24*'Assumptions '!$B$44</f>
        <v>1.567763795</v>
      </c>
      <c r="F10" s="27">
        <f>'Assumptions '!$B$43+'Assumptions '!$B$24*'Assumptions '!$B$44</f>
        <v>1.567763795</v>
      </c>
      <c r="G10" s="27">
        <f>'Assumptions '!$B$43+'Assumptions '!$B$24*'Assumptions '!$B$44</f>
        <v>1.567763795</v>
      </c>
      <c r="H10" s="27">
        <f>'Assumptions '!$B$43+'Assumptions '!$B$24*'Assumptions '!$B$44</f>
        <v>1.567763795</v>
      </c>
      <c r="I10" s="27">
        <f>'Assumptions '!$B$43+'Assumptions '!$B$24*'Assumptions '!$B$44</f>
        <v>1.567763795</v>
      </c>
      <c r="J10" s="27">
        <f>'Assumptions '!$B$43+'Assumptions '!$B$24*'Assumptions '!$B$44</f>
        <v>1.567763795</v>
      </c>
      <c r="K10" s="27">
        <f>'Assumptions '!$B$43+'Assumptions '!$B$24*'Assumptions '!$B$44</f>
        <v>1.567763795</v>
      </c>
      <c r="L10" s="27">
        <f>'Assumptions '!$B$43+'Assumptions '!$B$24*'Assumptions '!$B$44</f>
        <v>1.567763795</v>
      </c>
      <c r="M10" s="27">
        <f>'Assumptions '!$B$43+'Assumptions '!$B$24*'Assumptions '!$B$44</f>
        <v>1.567763795</v>
      </c>
      <c r="N10" s="27">
        <f>'Assumptions '!$B$43+'Assumptions '!$B$24*'Assumptions '!$B$44</f>
        <v>1.567763795</v>
      </c>
      <c r="O10" s="31"/>
    </row>
    <row r="11">
      <c r="A11" s="7" t="s">
        <v>67</v>
      </c>
      <c r="B11" s="29">
        <f>('Assumptions '!$B$9/12)</f>
        <v>30.41666667</v>
      </c>
      <c r="C11" s="29">
        <f>('Assumptions '!$B$9/12)</f>
        <v>30.41666667</v>
      </c>
      <c r="D11" s="29">
        <f>('Assumptions '!$B$9/12)</f>
        <v>30.41666667</v>
      </c>
      <c r="E11" s="29">
        <f>('Assumptions '!$B$9/12)</f>
        <v>30.41666667</v>
      </c>
      <c r="F11" s="29">
        <f>('Assumptions '!$B$9/12)</f>
        <v>30.41666667</v>
      </c>
      <c r="G11" s="29">
        <f>('Assumptions '!$B$9/12)</f>
        <v>30.41666667</v>
      </c>
      <c r="H11" s="29">
        <f>('Assumptions '!$B$9/12)</f>
        <v>30.41666667</v>
      </c>
      <c r="I11" s="29">
        <f>('Assumptions '!$B$9/12)</f>
        <v>30.41666667</v>
      </c>
      <c r="J11" s="29">
        <f>('Assumptions '!$B$9/12)</f>
        <v>30.41666667</v>
      </c>
      <c r="K11" s="29">
        <f>('Assumptions '!$B$9/12)</f>
        <v>30.41666667</v>
      </c>
      <c r="L11" s="29">
        <f>('Assumptions '!$B$9/12)</f>
        <v>30.41666667</v>
      </c>
      <c r="M11" s="29">
        <f>('Assumptions '!$B$9/12)</f>
        <v>30.41666667</v>
      </c>
      <c r="N11" s="29">
        <f>('Assumptions '!$B$9/12)</f>
        <v>30.41666667</v>
      </c>
      <c r="O11" s="34"/>
    </row>
    <row r="12">
      <c r="A12" s="7" t="s">
        <v>82</v>
      </c>
      <c r="B12" s="23">
        <f t="shared" ref="B12:N12" si="5">B9*B10*B11</f>
        <v>0</v>
      </c>
      <c r="C12" s="23">
        <f t="shared" si="5"/>
        <v>8011272.991</v>
      </c>
      <c r="D12" s="23">
        <f t="shared" si="5"/>
        <v>8011272.991</v>
      </c>
      <c r="E12" s="23">
        <f t="shared" si="5"/>
        <v>40056364.96</v>
      </c>
      <c r="F12" s="23">
        <f t="shared" si="5"/>
        <v>80112729.91</v>
      </c>
      <c r="G12" s="23">
        <f t="shared" si="5"/>
        <v>160225459.8</v>
      </c>
      <c r="H12" s="23">
        <f t="shared" si="5"/>
        <v>160225459.8</v>
      </c>
      <c r="I12" s="23">
        <f t="shared" si="5"/>
        <v>160225459.8</v>
      </c>
      <c r="J12" s="23">
        <f t="shared" si="5"/>
        <v>160225459.8</v>
      </c>
      <c r="K12" s="23">
        <f t="shared" si="5"/>
        <v>160225459.8</v>
      </c>
      <c r="L12" s="23">
        <f t="shared" si="5"/>
        <v>160225459.8</v>
      </c>
      <c r="M12" s="23">
        <f t="shared" si="5"/>
        <v>160225459.8</v>
      </c>
      <c r="N12" s="23">
        <f t="shared" si="5"/>
        <v>160225459.8</v>
      </c>
      <c r="O12" s="25">
        <f>SUM(B12:N12)</f>
        <v>1417995319</v>
      </c>
    </row>
    <row r="13">
      <c r="A13" s="7" t="s">
        <v>87</v>
      </c>
      <c r="B13" s="41">
        <f>'Assumptions '!$B$42</f>
        <v>0.115</v>
      </c>
      <c r="C13" s="41">
        <f>'Assumptions '!$B$42</f>
        <v>0.115</v>
      </c>
      <c r="D13" s="41">
        <f>'Assumptions '!$B$42</f>
        <v>0.115</v>
      </c>
      <c r="E13" s="41">
        <f>'Assumptions '!$B$42</f>
        <v>0.115</v>
      </c>
      <c r="F13" s="41">
        <f>'Assumptions '!$B$42</f>
        <v>0.115</v>
      </c>
      <c r="G13" s="41">
        <f>'Assumptions '!$B$42</f>
        <v>0.115</v>
      </c>
      <c r="H13" s="41">
        <f>'Assumptions '!$B$42</f>
        <v>0.115</v>
      </c>
      <c r="I13" s="41">
        <f>'Assumptions '!$B$42</f>
        <v>0.115</v>
      </c>
      <c r="J13" s="41">
        <f>'Assumptions '!$B$42</f>
        <v>0.115</v>
      </c>
      <c r="K13" s="41">
        <f>'Assumptions '!$B$42</f>
        <v>0.115</v>
      </c>
      <c r="L13" s="41">
        <f>'Assumptions '!$B$42</f>
        <v>0.115</v>
      </c>
      <c r="M13" s="41">
        <f>'Assumptions '!$B$42</f>
        <v>0.115</v>
      </c>
      <c r="N13" s="41">
        <f>'Assumptions '!$B$42</f>
        <v>0.115</v>
      </c>
      <c r="O13" s="43"/>
    </row>
    <row r="14">
      <c r="A14" s="7" t="s">
        <v>58</v>
      </c>
      <c r="B14" s="9">
        <f t="shared" ref="B14:N14" si="6">B12*B13</f>
        <v>0</v>
      </c>
      <c r="C14" s="9">
        <f t="shared" si="6"/>
        <v>921296.394</v>
      </c>
      <c r="D14" s="9">
        <f t="shared" si="6"/>
        <v>921296.394</v>
      </c>
      <c r="E14" s="9">
        <f t="shared" si="6"/>
        <v>4606481.97</v>
      </c>
      <c r="F14" s="9">
        <f t="shared" si="6"/>
        <v>9212963.94</v>
      </c>
      <c r="G14" s="9">
        <f t="shared" si="6"/>
        <v>18425927.88</v>
      </c>
      <c r="H14" s="9">
        <f t="shared" si="6"/>
        <v>18425927.88</v>
      </c>
      <c r="I14" s="9">
        <f t="shared" si="6"/>
        <v>18425927.88</v>
      </c>
      <c r="J14" s="9">
        <f t="shared" si="6"/>
        <v>18425927.88</v>
      </c>
      <c r="K14" s="9">
        <f t="shared" si="6"/>
        <v>18425927.88</v>
      </c>
      <c r="L14" s="9">
        <f t="shared" si="6"/>
        <v>18425927.88</v>
      </c>
      <c r="M14" s="9">
        <f t="shared" si="6"/>
        <v>18425927.88</v>
      </c>
      <c r="N14" s="9">
        <f t="shared" si="6"/>
        <v>18425927.88</v>
      </c>
      <c r="O14" s="15">
        <f>SUM(B14:N14)</f>
        <v>163069461.7</v>
      </c>
    </row>
    <row r="16">
      <c r="A16" s="2" t="s">
        <v>95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</row>
    <row r="17">
      <c r="A17" s="5" t="s">
        <v>6</v>
      </c>
      <c r="B17" s="5" t="s">
        <v>7</v>
      </c>
      <c r="C17" s="5" t="s">
        <v>8</v>
      </c>
      <c r="D17" s="5" t="s">
        <v>9</v>
      </c>
      <c r="E17" s="5" t="s">
        <v>10</v>
      </c>
      <c r="F17" s="5" t="s">
        <v>11</v>
      </c>
      <c r="G17" s="5" t="s">
        <v>12</v>
      </c>
      <c r="H17" s="5" t="s">
        <v>13</v>
      </c>
      <c r="I17" s="5" t="s">
        <v>14</v>
      </c>
      <c r="J17" s="5" t="s">
        <v>15</v>
      </c>
      <c r="K17" s="5" t="s">
        <v>16</v>
      </c>
      <c r="L17" s="5" t="s">
        <v>17</v>
      </c>
      <c r="M17" s="5" t="s">
        <v>18</v>
      </c>
      <c r="N17" s="5" t="s">
        <v>19</v>
      </c>
      <c r="O17" s="5" t="s">
        <v>20</v>
      </c>
    </row>
    <row r="18">
      <c r="A18" s="7" t="s">
        <v>102</v>
      </c>
      <c r="B18" s="9">
        <f t="shared" ref="B18:N18" si="7">B14</f>
        <v>0</v>
      </c>
      <c r="C18" s="9">
        <f t="shared" si="7"/>
        <v>921296.394</v>
      </c>
      <c r="D18" s="9">
        <f t="shared" si="7"/>
        <v>921296.394</v>
      </c>
      <c r="E18" s="9">
        <f t="shared" si="7"/>
        <v>4606481.97</v>
      </c>
      <c r="F18" s="9">
        <f t="shared" si="7"/>
        <v>9212963.94</v>
      </c>
      <c r="G18" s="9">
        <f t="shared" si="7"/>
        <v>18425927.88</v>
      </c>
      <c r="H18" s="9">
        <f t="shared" si="7"/>
        <v>18425927.88</v>
      </c>
      <c r="I18" s="9">
        <f t="shared" si="7"/>
        <v>18425927.88</v>
      </c>
      <c r="J18" s="9">
        <f t="shared" si="7"/>
        <v>18425927.88</v>
      </c>
      <c r="K18" s="9">
        <f t="shared" si="7"/>
        <v>18425927.88</v>
      </c>
      <c r="L18" s="9">
        <f t="shared" si="7"/>
        <v>18425927.88</v>
      </c>
      <c r="M18" s="9">
        <f t="shared" si="7"/>
        <v>18425927.88</v>
      </c>
      <c r="N18" s="9">
        <f t="shared" si="7"/>
        <v>18425927.88</v>
      </c>
      <c r="O18" s="15">
        <f>SUM(B18:N18)</f>
        <v>163069461.7</v>
      </c>
    </row>
    <row r="19">
      <c r="A19" s="7" t="s">
        <v>105</v>
      </c>
      <c r="B19" s="35">
        <f>'Assumptions '!$B$45</f>
        <v>0.1</v>
      </c>
      <c r="C19" s="35">
        <f>'Assumptions '!$B$45</f>
        <v>0.1</v>
      </c>
      <c r="D19" s="35">
        <f>'Assumptions '!$B$45</f>
        <v>0.1</v>
      </c>
      <c r="E19" s="35">
        <f>'Assumptions '!$B$45</f>
        <v>0.1</v>
      </c>
      <c r="F19" s="35">
        <f>'Assumptions '!$B$45</f>
        <v>0.1</v>
      </c>
      <c r="G19" s="35">
        <f>'Assumptions '!$B$45</f>
        <v>0.1</v>
      </c>
      <c r="H19" s="35">
        <f>'Assumptions '!$B$45</f>
        <v>0.1</v>
      </c>
      <c r="I19" s="35">
        <f>'Assumptions '!$B$45</f>
        <v>0.1</v>
      </c>
      <c r="J19" s="35">
        <f>'Assumptions '!$B$45</f>
        <v>0.1</v>
      </c>
      <c r="K19" s="35">
        <f>'Assumptions '!$B$45</f>
        <v>0.1</v>
      </c>
      <c r="L19" s="35">
        <f>'Assumptions '!$B$45</f>
        <v>0.1</v>
      </c>
      <c r="M19" s="35">
        <f>'Assumptions '!$B$45</f>
        <v>0.1</v>
      </c>
      <c r="N19" s="35">
        <f>'Assumptions '!$B$45</f>
        <v>0.1</v>
      </c>
      <c r="O19" s="37"/>
    </row>
    <row r="20">
      <c r="A20" s="7" t="s">
        <v>58</v>
      </c>
      <c r="B20" s="9">
        <f t="shared" ref="B20:N20" si="8">B18*B19</f>
        <v>0</v>
      </c>
      <c r="C20" s="9">
        <f t="shared" si="8"/>
        <v>92129.6394</v>
      </c>
      <c r="D20" s="9">
        <f t="shared" si="8"/>
        <v>92129.6394</v>
      </c>
      <c r="E20" s="9">
        <f t="shared" si="8"/>
        <v>460648.197</v>
      </c>
      <c r="F20" s="9">
        <f t="shared" si="8"/>
        <v>921296.394</v>
      </c>
      <c r="G20" s="9">
        <f t="shared" si="8"/>
        <v>1842592.788</v>
      </c>
      <c r="H20" s="9">
        <f t="shared" si="8"/>
        <v>1842592.788</v>
      </c>
      <c r="I20" s="9">
        <f t="shared" si="8"/>
        <v>1842592.788</v>
      </c>
      <c r="J20" s="9">
        <f t="shared" si="8"/>
        <v>1842592.788</v>
      </c>
      <c r="K20" s="9">
        <f t="shared" si="8"/>
        <v>1842592.788</v>
      </c>
      <c r="L20" s="9">
        <f t="shared" si="8"/>
        <v>1842592.788</v>
      </c>
      <c r="M20" s="9">
        <f t="shared" si="8"/>
        <v>1842592.788</v>
      </c>
      <c r="N20" s="9">
        <f t="shared" si="8"/>
        <v>1842592.788</v>
      </c>
      <c r="O20" s="15">
        <f>SUM(B20:N20)</f>
        <v>16306946.17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7:O7"/>
    <mergeCell ref="A16:O16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14" width="13.13"/>
    <col customWidth="1" min="15" max="15" width="14.88"/>
    <col customWidth="1" min="16" max="26" width="7.63"/>
  </cols>
  <sheetData>
    <row r="1">
      <c r="A1" s="2" t="s">
        <v>178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 t="s">
        <v>5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>
      <c r="A3" s="7" t="s">
        <v>180</v>
      </c>
      <c r="B3" s="9">
        <f t="shared" ref="B3:N3" si="1">B15</f>
        <v>0</v>
      </c>
      <c r="C3" s="9">
        <f t="shared" si="1"/>
        <v>397570.8616</v>
      </c>
      <c r="D3" s="9">
        <f t="shared" si="1"/>
        <v>397570.8616</v>
      </c>
      <c r="E3" s="9">
        <f t="shared" si="1"/>
        <v>1987854.308</v>
      </c>
      <c r="F3" s="9">
        <f t="shared" si="1"/>
        <v>3975708.616</v>
      </c>
      <c r="G3" s="9">
        <f t="shared" si="1"/>
        <v>7951417.231</v>
      </c>
      <c r="H3" s="9">
        <f t="shared" si="1"/>
        <v>7951417.231</v>
      </c>
      <c r="I3" s="9">
        <f t="shared" si="1"/>
        <v>7951417.231</v>
      </c>
      <c r="J3" s="9">
        <f t="shared" si="1"/>
        <v>7951417.231</v>
      </c>
      <c r="K3" s="9">
        <f t="shared" si="1"/>
        <v>7951417.231</v>
      </c>
      <c r="L3" s="9">
        <f t="shared" si="1"/>
        <v>7951417.231</v>
      </c>
      <c r="M3" s="9">
        <f t="shared" si="1"/>
        <v>7951417.231</v>
      </c>
      <c r="N3" s="9">
        <f t="shared" si="1"/>
        <v>7951417.231</v>
      </c>
      <c r="O3" s="15">
        <f t="shared" ref="O3:O7" si="3">SUM(B3:N3)</f>
        <v>70370042.5</v>
      </c>
    </row>
    <row r="4">
      <c r="A4" s="7" t="s">
        <v>183</v>
      </c>
      <c r="B4" s="9">
        <f t="shared" ref="B4:N4" si="2">B23</f>
        <v>0</v>
      </c>
      <c r="C4" s="9">
        <f t="shared" si="2"/>
        <v>26504.7241</v>
      </c>
      <c r="D4" s="9">
        <f t="shared" si="2"/>
        <v>26504.7241</v>
      </c>
      <c r="E4" s="9">
        <f t="shared" si="2"/>
        <v>132523.6205</v>
      </c>
      <c r="F4" s="9">
        <f t="shared" si="2"/>
        <v>265047.241</v>
      </c>
      <c r="G4" s="9">
        <f t="shared" si="2"/>
        <v>530094.4821</v>
      </c>
      <c r="H4" s="9">
        <f t="shared" si="2"/>
        <v>530094.4821</v>
      </c>
      <c r="I4" s="9">
        <f t="shared" si="2"/>
        <v>530094.4821</v>
      </c>
      <c r="J4" s="9">
        <f t="shared" si="2"/>
        <v>530094.4821</v>
      </c>
      <c r="K4" s="9">
        <f t="shared" si="2"/>
        <v>530094.4821</v>
      </c>
      <c r="L4" s="9">
        <f t="shared" si="2"/>
        <v>530094.4821</v>
      </c>
      <c r="M4" s="9">
        <f t="shared" si="2"/>
        <v>530094.4821</v>
      </c>
      <c r="N4" s="9">
        <f t="shared" si="2"/>
        <v>530094.4821</v>
      </c>
      <c r="O4" s="15">
        <f t="shared" si="3"/>
        <v>4691336.167</v>
      </c>
    </row>
    <row r="5">
      <c r="A5" s="7" t="s">
        <v>186</v>
      </c>
      <c r="B5" s="9">
        <f t="shared" ref="B5:N5" si="4">B27</f>
        <v>0</v>
      </c>
      <c r="C5" s="9">
        <f t="shared" si="4"/>
        <v>8500</v>
      </c>
      <c r="D5" s="9">
        <f t="shared" si="4"/>
        <v>8500</v>
      </c>
      <c r="E5" s="9">
        <f t="shared" si="4"/>
        <v>8500</v>
      </c>
      <c r="F5" s="9">
        <f t="shared" si="4"/>
        <v>8500</v>
      </c>
      <c r="G5" s="9">
        <f t="shared" si="4"/>
        <v>8500</v>
      </c>
      <c r="H5" s="9">
        <f t="shared" si="4"/>
        <v>8500</v>
      </c>
      <c r="I5" s="9">
        <f t="shared" si="4"/>
        <v>8500</v>
      </c>
      <c r="J5" s="9">
        <f t="shared" si="4"/>
        <v>8500</v>
      </c>
      <c r="K5" s="9">
        <f t="shared" si="4"/>
        <v>8500</v>
      </c>
      <c r="L5" s="9">
        <f t="shared" si="4"/>
        <v>8500</v>
      </c>
      <c r="M5" s="9">
        <f t="shared" si="4"/>
        <v>8500</v>
      </c>
      <c r="N5" s="9">
        <f t="shared" si="4"/>
        <v>8500</v>
      </c>
      <c r="O5" s="15">
        <f t="shared" si="3"/>
        <v>102000</v>
      </c>
    </row>
    <row r="6">
      <c r="A6" s="7" t="s">
        <v>188</v>
      </c>
      <c r="B6" s="9">
        <f t="shared" ref="B6:N6" si="5">B28</f>
        <v>50000</v>
      </c>
      <c r="C6" s="9">
        <f t="shared" si="5"/>
        <v>0</v>
      </c>
      <c r="D6" s="9">
        <f t="shared" si="5"/>
        <v>0</v>
      </c>
      <c r="E6" s="9">
        <f t="shared" si="5"/>
        <v>0</v>
      </c>
      <c r="F6" s="9">
        <f t="shared" si="5"/>
        <v>0</v>
      </c>
      <c r="G6" s="9">
        <f t="shared" si="5"/>
        <v>0</v>
      </c>
      <c r="H6" s="9">
        <f t="shared" si="5"/>
        <v>0</v>
      </c>
      <c r="I6" s="9">
        <f t="shared" si="5"/>
        <v>0</v>
      </c>
      <c r="J6" s="9">
        <f t="shared" si="5"/>
        <v>0</v>
      </c>
      <c r="K6" s="9">
        <f t="shared" si="5"/>
        <v>0</v>
      </c>
      <c r="L6" s="9">
        <f t="shared" si="5"/>
        <v>0</v>
      </c>
      <c r="M6" s="9">
        <f t="shared" si="5"/>
        <v>0</v>
      </c>
      <c r="N6" s="9">
        <f t="shared" si="5"/>
        <v>0</v>
      </c>
      <c r="O6" s="15">
        <f t="shared" si="3"/>
        <v>50000</v>
      </c>
    </row>
    <row r="7">
      <c r="A7" s="17" t="s">
        <v>0</v>
      </c>
      <c r="B7" s="18">
        <f t="shared" ref="B7:N7" si="6">SUM(B3:B6)</f>
        <v>50000</v>
      </c>
      <c r="C7" s="18">
        <f t="shared" si="6"/>
        <v>432575.5857</v>
      </c>
      <c r="D7" s="18">
        <f t="shared" si="6"/>
        <v>432575.5857</v>
      </c>
      <c r="E7" s="18">
        <f t="shared" si="6"/>
        <v>2128877.928</v>
      </c>
      <c r="F7" s="18">
        <f t="shared" si="6"/>
        <v>4249255.857</v>
      </c>
      <c r="G7" s="18">
        <f t="shared" si="6"/>
        <v>8490011.713</v>
      </c>
      <c r="H7" s="18">
        <f t="shared" si="6"/>
        <v>8490011.713</v>
      </c>
      <c r="I7" s="18">
        <f t="shared" si="6"/>
        <v>8490011.713</v>
      </c>
      <c r="J7" s="18">
        <f t="shared" si="6"/>
        <v>8490011.713</v>
      </c>
      <c r="K7" s="18">
        <f t="shared" si="6"/>
        <v>8490011.713</v>
      </c>
      <c r="L7" s="18">
        <f t="shared" si="6"/>
        <v>8490011.713</v>
      </c>
      <c r="M7" s="18">
        <f t="shared" si="6"/>
        <v>8490011.713</v>
      </c>
      <c r="N7" s="18">
        <f t="shared" si="6"/>
        <v>8490011.713</v>
      </c>
      <c r="O7" s="18">
        <f t="shared" si="3"/>
        <v>75213378.66</v>
      </c>
    </row>
    <row r="9">
      <c r="A9" s="2" t="s">
        <v>193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  <c r="L10" s="5" t="s">
        <v>17</v>
      </c>
      <c r="M10" s="5" t="s">
        <v>18</v>
      </c>
      <c r="N10" s="5" t="s">
        <v>19</v>
      </c>
      <c r="O10" s="5" t="s">
        <v>20</v>
      </c>
    </row>
    <row r="11">
      <c r="A11" s="7" t="s">
        <v>196</v>
      </c>
      <c r="B11" s="23">
        <f>'Assumptions '!$B$90*'Payback Analysis '!C$13</f>
        <v>0</v>
      </c>
      <c r="C11" s="23">
        <f>'Assumptions '!$B$90*'Payback Analysis '!D$13</f>
        <v>72615.68248</v>
      </c>
      <c r="D11" s="23">
        <f>'Assumptions '!$B$90*'Payback Analysis '!E$13</f>
        <v>72615.68248</v>
      </c>
      <c r="E11" s="23">
        <f>'Assumptions '!$B$90*'Payback Analysis '!F$13</f>
        <v>363078.4124</v>
      </c>
      <c r="F11" s="23">
        <f>'Assumptions '!$B$90*'Payback Analysis '!G$13</f>
        <v>726156.8248</v>
      </c>
      <c r="G11" s="23">
        <f>'Assumptions '!$B$90*'Payback Analysis '!H$13</f>
        <v>1452313.65</v>
      </c>
      <c r="H11" s="23">
        <f>'Assumptions '!$B$90*'Payback Analysis '!I$13</f>
        <v>1452313.65</v>
      </c>
      <c r="I11" s="23">
        <f>'Assumptions '!$B$90*'Payback Analysis '!J$13</f>
        <v>1452313.65</v>
      </c>
      <c r="J11" s="23">
        <f>'Assumptions '!$B$90*'Payback Analysis '!K$13</f>
        <v>1452313.65</v>
      </c>
      <c r="K11" s="23">
        <f>'Assumptions '!$B$90*'Payback Analysis '!L$13</f>
        <v>1452313.65</v>
      </c>
      <c r="L11" s="23">
        <f>'Assumptions '!$B$90*'Payback Analysis '!M$13</f>
        <v>1452313.65</v>
      </c>
      <c r="M11" s="23">
        <f>'Assumptions '!$B$90*'Payback Analysis '!N$13</f>
        <v>1452313.65</v>
      </c>
      <c r="N11" s="23">
        <f>'Assumptions '!$B$90*'Payback Analysis '!O$13</f>
        <v>1452313.65</v>
      </c>
      <c r="O11" s="25"/>
    </row>
    <row r="12">
      <c r="A12" s="7" t="s">
        <v>67</v>
      </c>
      <c r="B12" s="29">
        <f>('Assumptions '!$B$9/12)</f>
        <v>30.41666667</v>
      </c>
      <c r="C12" s="29">
        <f>('Assumptions '!$B$9/12)</f>
        <v>30.41666667</v>
      </c>
      <c r="D12" s="29">
        <f>('Assumptions '!$B$9/12)</f>
        <v>30.41666667</v>
      </c>
      <c r="E12" s="29">
        <f>('Assumptions '!$B$9/12)</f>
        <v>30.41666667</v>
      </c>
      <c r="F12" s="29">
        <f>('Assumptions '!$B$9/12)</f>
        <v>30.41666667</v>
      </c>
      <c r="G12" s="29">
        <f>('Assumptions '!$B$9/12)</f>
        <v>30.41666667</v>
      </c>
      <c r="H12" s="29">
        <f>('Assumptions '!$B$9/12)</f>
        <v>30.41666667</v>
      </c>
      <c r="I12" s="29">
        <f>('Assumptions '!$B$9/12)</f>
        <v>30.41666667</v>
      </c>
      <c r="J12" s="29">
        <f>('Assumptions '!$B$9/12)</f>
        <v>30.41666667</v>
      </c>
      <c r="K12" s="29">
        <f>('Assumptions '!$B$9/12)</f>
        <v>30.41666667</v>
      </c>
      <c r="L12" s="29">
        <f>('Assumptions '!$B$9/12)</f>
        <v>30.41666667</v>
      </c>
      <c r="M12" s="29">
        <f>('Assumptions '!$B$9/12)</f>
        <v>30.41666667</v>
      </c>
      <c r="N12" s="29">
        <f>('Assumptions '!$B$9/12)</f>
        <v>30.41666667</v>
      </c>
      <c r="O12" s="34"/>
    </row>
    <row r="13">
      <c r="A13" s="7" t="s">
        <v>204</v>
      </c>
      <c r="B13" s="23">
        <f t="shared" ref="B13:N13" si="7">B11*B12</f>
        <v>0</v>
      </c>
      <c r="C13" s="23">
        <f t="shared" si="7"/>
        <v>2208727.009</v>
      </c>
      <c r="D13" s="23">
        <f t="shared" si="7"/>
        <v>2208727.009</v>
      </c>
      <c r="E13" s="23">
        <f t="shared" si="7"/>
        <v>11043635.04</v>
      </c>
      <c r="F13" s="23">
        <f t="shared" si="7"/>
        <v>22087270.09</v>
      </c>
      <c r="G13" s="23">
        <f t="shared" si="7"/>
        <v>44174540.17</v>
      </c>
      <c r="H13" s="23">
        <f t="shared" si="7"/>
        <v>44174540.17</v>
      </c>
      <c r="I13" s="23">
        <f t="shared" si="7"/>
        <v>44174540.17</v>
      </c>
      <c r="J13" s="23">
        <f t="shared" si="7"/>
        <v>44174540.17</v>
      </c>
      <c r="K13" s="23">
        <f t="shared" si="7"/>
        <v>44174540.17</v>
      </c>
      <c r="L13" s="23">
        <f t="shared" si="7"/>
        <v>44174540.17</v>
      </c>
      <c r="M13" s="23">
        <f t="shared" si="7"/>
        <v>44174540.17</v>
      </c>
      <c r="N13" s="23">
        <f t="shared" si="7"/>
        <v>44174540.17</v>
      </c>
      <c r="O13" s="25">
        <f>SUM(B13:N13)</f>
        <v>390944680.5</v>
      </c>
    </row>
    <row r="14">
      <c r="A14" s="7" t="s">
        <v>205</v>
      </c>
      <c r="B14" s="47">
        <f>'Assumptions '!$B$46</f>
        <v>0.18</v>
      </c>
      <c r="C14" s="47">
        <f>'Assumptions '!$B$46</f>
        <v>0.18</v>
      </c>
      <c r="D14" s="47">
        <f>'Assumptions '!$B$46</f>
        <v>0.18</v>
      </c>
      <c r="E14" s="47">
        <f>'Assumptions '!$B$46</f>
        <v>0.18</v>
      </c>
      <c r="F14" s="47">
        <f>'Assumptions '!$B$46</f>
        <v>0.18</v>
      </c>
      <c r="G14" s="47">
        <f>'Assumptions '!$B$46</f>
        <v>0.18</v>
      </c>
      <c r="H14" s="47">
        <f>'Assumptions '!$B$46</f>
        <v>0.18</v>
      </c>
      <c r="I14" s="47">
        <f>'Assumptions '!$B$46</f>
        <v>0.18</v>
      </c>
      <c r="J14" s="47">
        <f>'Assumptions '!$B$46</f>
        <v>0.18</v>
      </c>
      <c r="K14" s="47">
        <f>'Assumptions '!$B$46</f>
        <v>0.18</v>
      </c>
      <c r="L14" s="47">
        <f>'Assumptions '!$B$46</f>
        <v>0.18</v>
      </c>
      <c r="M14" s="47">
        <f>'Assumptions '!$B$46</f>
        <v>0.18</v>
      </c>
      <c r="N14" s="47">
        <f>'Assumptions '!$B$46</f>
        <v>0.18</v>
      </c>
      <c r="O14" s="48"/>
    </row>
    <row r="15">
      <c r="A15" s="7" t="s">
        <v>58</v>
      </c>
      <c r="B15" s="9">
        <f t="shared" ref="B15:N15" si="8">B13*B14</f>
        <v>0</v>
      </c>
      <c r="C15" s="9">
        <f t="shared" si="8"/>
        <v>397570.8616</v>
      </c>
      <c r="D15" s="9">
        <f t="shared" si="8"/>
        <v>397570.8616</v>
      </c>
      <c r="E15" s="9">
        <f t="shared" si="8"/>
        <v>1987854.308</v>
      </c>
      <c r="F15" s="9">
        <f t="shared" si="8"/>
        <v>3975708.616</v>
      </c>
      <c r="G15" s="9">
        <f t="shared" si="8"/>
        <v>7951417.231</v>
      </c>
      <c r="H15" s="9">
        <f t="shared" si="8"/>
        <v>7951417.231</v>
      </c>
      <c r="I15" s="9">
        <f t="shared" si="8"/>
        <v>7951417.231</v>
      </c>
      <c r="J15" s="9">
        <f t="shared" si="8"/>
        <v>7951417.231</v>
      </c>
      <c r="K15" s="9">
        <f t="shared" si="8"/>
        <v>7951417.231</v>
      </c>
      <c r="L15" s="9">
        <f t="shared" si="8"/>
        <v>7951417.231</v>
      </c>
      <c r="M15" s="9">
        <f t="shared" si="8"/>
        <v>7951417.231</v>
      </c>
      <c r="N15" s="9">
        <f t="shared" si="8"/>
        <v>7951417.231</v>
      </c>
      <c r="O15" s="15">
        <f>SUM(B15:N15)</f>
        <v>70370042.5</v>
      </c>
    </row>
    <row r="17">
      <c r="A17" s="2" t="s">
        <v>206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>
      <c r="A18" s="5" t="s">
        <v>6</v>
      </c>
      <c r="B18" s="5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12</v>
      </c>
      <c r="H18" s="5" t="s">
        <v>13</v>
      </c>
      <c r="I18" s="5" t="s">
        <v>14</v>
      </c>
      <c r="J18" s="5" t="s">
        <v>15</v>
      </c>
      <c r="K18" s="5" t="s">
        <v>16</v>
      </c>
      <c r="L18" s="5" t="s">
        <v>17</v>
      </c>
      <c r="M18" s="5" t="s">
        <v>18</v>
      </c>
      <c r="N18" s="5" t="s">
        <v>19</v>
      </c>
      <c r="O18" s="5" t="s">
        <v>20</v>
      </c>
    </row>
    <row r="19">
      <c r="A19" s="7" t="s">
        <v>207</v>
      </c>
      <c r="B19" s="23">
        <f>'Assumptions '!$B$91*'Payback Analysis '!C$13</f>
        <v>0</v>
      </c>
      <c r="C19" s="23">
        <f>'Assumptions '!$B$91*'Payback Analysis '!D$13</f>
        <v>10892.35237</v>
      </c>
      <c r="D19" s="23">
        <f>'Assumptions '!$B$91*'Payback Analysis '!E$13</f>
        <v>10892.35237</v>
      </c>
      <c r="E19" s="23">
        <f>'Assumptions '!$B$91*'Payback Analysis '!F$13</f>
        <v>54461.76186</v>
      </c>
      <c r="F19" s="23">
        <f>'Assumptions '!$B$91*'Payback Analysis '!G$13</f>
        <v>108923.5237</v>
      </c>
      <c r="G19" s="23">
        <f>'Assumptions '!$B$91*'Payback Analysis '!H$13</f>
        <v>217847.0474</v>
      </c>
      <c r="H19" s="23">
        <f>'Assumptions '!$B$91*'Payback Analysis '!I$13</f>
        <v>217847.0474</v>
      </c>
      <c r="I19" s="23">
        <f>'Assumptions '!$B$91*'Payback Analysis '!J$13</f>
        <v>217847.0474</v>
      </c>
      <c r="J19" s="23">
        <f>'Assumptions '!$B$91*'Payback Analysis '!K$13</f>
        <v>217847.0474</v>
      </c>
      <c r="K19" s="23">
        <f>'Assumptions '!$B$91*'Payback Analysis '!L$13</f>
        <v>217847.0474</v>
      </c>
      <c r="L19" s="23">
        <f>'Assumptions '!$B$91*'Payback Analysis '!M$13</f>
        <v>217847.0474</v>
      </c>
      <c r="M19" s="23">
        <f>'Assumptions '!$B$91*'Payback Analysis '!N$13</f>
        <v>217847.0474</v>
      </c>
      <c r="N19" s="23">
        <f>'Assumptions '!$B$91*'Payback Analysis '!O$13</f>
        <v>217847.0474</v>
      </c>
      <c r="O19" s="25"/>
    </row>
    <row r="20">
      <c r="A20" s="7" t="s">
        <v>67</v>
      </c>
      <c r="B20" s="29">
        <f>('Assumptions '!$B$9/12)</f>
        <v>30.41666667</v>
      </c>
      <c r="C20" s="29">
        <f>('Assumptions '!$B$9/12)</f>
        <v>30.41666667</v>
      </c>
      <c r="D20" s="29">
        <f>('Assumptions '!$B$9/12)</f>
        <v>30.41666667</v>
      </c>
      <c r="E20" s="29">
        <f>('Assumptions '!$B$9/12)</f>
        <v>30.41666667</v>
      </c>
      <c r="F20" s="29">
        <f>('Assumptions '!$B$9/12)</f>
        <v>30.41666667</v>
      </c>
      <c r="G20" s="29">
        <f>('Assumptions '!$B$9/12)</f>
        <v>30.41666667</v>
      </c>
      <c r="H20" s="29">
        <f>('Assumptions '!$B$9/12)</f>
        <v>30.41666667</v>
      </c>
      <c r="I20" s="29">
        <f>('Assumptions '!$B$9/12)</f>
        <v>30.41666667</v>
      </c>
      <c r="J20" s="29">
        <f>('Assumptions '!$B$9/12)</f>
        <v>30.41666667</v>
      </c>
      <c r="K20" s="29">
        <f>('Assumptions '!$B$9/12)</f>
        <v>30.41666667</v>
      </c>
      <c r="L20" s="29">
        <f>('Assumptions '!$B$9/12)</f>
        <v>30.41666667</v>
      </c>
      <c r="M20" s="29">
        <f>('Assumptions '!$B$9/12)</f>
        <v>30.41666667</v>
      </c>
      <c r="N20" s="29">
        <f>('Assumptions '!$B$9/12)</f>
        <v>30.41666667</v>
      </c>
      <c r="O20" s="34"/>
    </row>
    <row r="21" ht="15.75" customHeight="1">
      <c r="A21" s="7" t="s">
        <v>211</v>
      </c>
      <c r="B21" s="23">
        <f t="shared" ref="B21:N21" si="9">B19*B20</f>
        <v>0</v>
      </c>
      <c r="C21" s="23">
        <f t="shared" si="9"/>
        <v>331309.0513</v>
      </c>
      <c r="D21" s="23">
        <f t="shared" si="9"/>
        <v>331309.0513</v>
      </c>
      <c r="E21" s="23">
        <f t="shared" si="9"/>
        <v>1656545.257</v>
      </c>
      <c r="F21" s="23">
        <f t="shared" si="9"/>
        <v>3313090.513</v>
      </c>
      <c r="G21" s="23">
        <f t="shared" si="9"/>
        <v>6626181.026</v>
      </c>
      <c r="H21" s="23">
        <f t="shared" si="9"/>
        <v>6626181.026</v>
      </c>
      <c r="I21" s="23">
        <f t="shared" si="9"/>
        <v>6626181.026</v>
      </c>
      <c r="J21" s="23">
        <f t="shared" si="9"/>
        <v>6626181.026</v>
      </c>
      <c r="K21" s="23">
        <f t="shared" si="9"/>
        <v>6626181.026</v>
      </c>
      <c r="L21" s="23">
        <f t="shared" si="9"/>
        <v>6626181.026</v>
      </c>
      <c r="M21" s="23">
        <f t="shared" si="9"/>
        <v>6626181.026</v>
      </c>
      <c r="N21" s="23">
        <f t="shared" si="9"/>
        <v>6626181.026</v>
      </c>
      <c r="O21" s="25">
        <f>SUM(B21:N21)</f>
        <v>58641702.08</v>
      </c>
    </row>
    <row r="22" ht="15.75" customHeight="1">
      <c r="A22" s="7" t="s">
        <v>213</v>
      </c>
      <c r="B22" s="47">
        <f>'Assumptions '!$B$47</f>
        <v>0.08</v>
      </c>
      <c r="C22" s="47">
        <f>'Assumptions '!$B$47</f>
        <v>0.08</v>
      </c>
      <c r="D22" s="47">
        <f>'Assumptions '!$B$47</f>
        <v>0.08</v>
      </c>
      <c r="E22" s="47">
        <f>'Assumptions '!$B$47</f>
        <v>0.08</v>
      </c>
      <c r="F22" s="47">
        <f>'Assumptions '!$B$47</f>
        <v>0.08</v>
      </c>
      <c r="G22" s="47">
        <f>'Assumptions '!$B$47</f>
        <v>0.08</v>
      </c>
      <c r="H22" s="47">
        <f>'Assumptions '!$B$47</f>
        <v>0.08</v>
      </c>
      <c r="I22" s="47">
        <f>'Assumptions '!$B$47</f>
        <v>0.08</v>
      </c>
      <c r="J22" s="47">
        <f>'Assumptions '!$B$47</f>
        <v>0.08</v>
      </c>
      <c r="K22" s="47">
        <f>'Assumptions '!$B$47</f>
        <v>0.08</v>
      </c>
      <c r="L22" s="47">
        <f>'Assumptions '!$B$47</f>
        <v>0.08</v>
      </c>
      <c r="M22" s="47">
        <f>'Assumptions '!$B$47</f>
        <v>0.08</v>
      </c>
      <c r="N22" s="47">
        <f>'Assumptions '!$B$47</f>
        <v>0.08</v>
      </c>
      <c r="O22" s="48"/>
    </row>
    <row r="23" ht="15.75" customHeight="1">
      <c r="A23" s="7" t="s">
        <v>58</v>
      </c>
      <c r="B23" s="9">
        <f t="shared" ref="B23:N23" si="10">B21*B22</f>
        <v>0</v>
      </c>
      <c r="C23" s="9">
        <f t="shared" si="10"/>
        <v>26504.7241</v>
      </c>
      <c r="D23" s="9">
        <f t="shared" si="10"/>
        <v>26504.7241</v>
      </c>
      <c r="E23" s="9">
        <f t="shared" si="10"/>
        <v>132523.6205</v>
      </c>
      <c r="F23" s="9">
        <f t="shared" si="10"/>
        <v>265047.241</v>
      </c>
      <c r="G23" s="9">
        <f t="shared" si="10"/>
        <v>530094.4821</v>
      </c>
      <c r="H23" s="9">
        <f t="shared" si="10"/>
        <v>530094.4821</v>
      </c>
      <c r="I23" s="9">
        <f t="shared" si="10"/>
        <v>530094.4821</v>
      </c>
      <c r="J23" s="9">
        <f t="shared" si="10"/>
        <v>530094.4821</v>
      </c>
      <c r="K23" s="9">
        <f t="shared" si="10"/>
        <v>530094.4821</v>
      </c>
      <c r="L23" s="9">
        <f t="shared" si="10"/>
        <v>530094.4821</v>
      </c>
      <c r="M23" s="9">
        <f t="shared" si="10"/>
        <v>530094.4821</v>
      </c>
      <c r="N23" s="9">
        <f t="shared" si="10"/>
        <v>530094.4821</v>
      </c>
      <c r="O23" s="15">
        <f>SUM(B23:N23)</f>
        <v>4691336.167</v>
      </c>
    </row>
    <row r="24" ht="15.75" customHeight="1"/>
    <row r="25" ht="15.75" customHeight="1">
      <c r="A25" s="2" t="s">
        <v>217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</row>
    <row r="26" ht="15.75" customHeight="1">
      <c r="A26" s="5" t="s">
        <v>6</v>
      </c>
      <c r="B26" s="5" t="s">
        <v>7</v>
      </c>
      <c r="C26" s="5" t="s">
        <v>8</v>
      </c>
      <c r="D26" s="5" t="s">
        <v>9</v>
      </c>
      <c r="E26" s="5" t="s">
        <v>10</v>
      </c>
      <c r="F26" s="5" t="s">
        <v>11</v>
      </c>
      <c r="G26" s="5" t="s">
        <v>12</v>
      </c>
      <c r="H26" s="5" t="s">
        <v>13</v>
      </c>
      <c r="I26" s="5" t="s">
        <v>14</v>
      </c>
      <c r="J26" s="5" t="s">
        <v>15</v>
      </c>
      <c r="K26" s="5" t="s">
        <v>16</v>
      </c>
      <c r="L26" s="5" t="s">
        <v>17</v>
      </c>
      <c r="M26" s="5" t="s">
        <v>18</v>
      </c>
      <c r="N26" s="5" t="s">
        <v>19</v>
      </c>
      <c r="O26" s="5" t="s">
        <v>20</v>
      </c>
    </row>
    <row r="27" ht="15.75" customHeight="1">
      <c r="A27" s="7" t="s">
        <v>218</v>
      </c>
      <c r="B27" s="9">
        <f>IF(0&gt;=1,'Assumptions '!$B$48,0)</f>
        <v>0</v>
      </c>
      <c r="C27" s="9">
        <f>IF(1&gt;=1,'Assumptions '!$B$48,0)</f>
        <v>8500</v>
      </c>
      <c r="D27" s="9">
        <f>IF(2&gt;=1,'Assumptions '!$B$48,0)</f>
        <v>8500</v>
      </c>
      <c r="E27" s="9">
        <f>IF(3&gt;=1,'Assumptions '!$B$48,0)</f>
        <v>8500</v>
      </c>
      <c r="F27" s="9">
        <f>IF(4&gt;=1,'Assumptions '!$B$48,0)</f>
        <v>8500</v>
      </c>
      <c r="G27" s="9">
        <f>IF(5&gt;=1,'Assumptions '!$B$48,0)</f>
        <v>8500</v>
      </c>
      <c r="H27" s="9">
        <f>IF(6&gt;=1,'Assumptions '!$B$48,0)</f>
        <v>8500</v>
      </c>
      <c r="I27" s="9">
        <f>IF(7&gt;=1,'Assumptions '!$B$48,0)</f>
        <v>8500</v>
      </c>
      <c r="J27" s="9">
        <f>IF(8&gt;=1,'Assumptions '!$B$48,0)</f>
        <v>8500</v>
      </c>
      <c r="K27" s="9">
        <f>IF(9&gt;=1,'Assumptions '!$B$48,0)</f>
        <v>8500</v>
      </c>
      <c r="L27" s="9">
        <f>IF(10&gt;=1,'Assumptions '!$B$48,0)</f>
        <v>8500</v>
      </c>
      <c r="M27" s="9">
        <f>IF(11&gt;=1,'Assumptions '!$B$48,0)</f>
        <v>8500</v>
      </c>
      <c r="N27" s="9">
        <f>IF(12&gt;=1,'Assumptions '!$B$48,0)</f>
        <v>8500</v>
      </c>
      <c r="O27" s="15">
        <f t="shared" ref="O27:O28" si="11">SUM(B27:N27)</f>
        <v>102000</v>
      </c>
    </row>
    <row r="28" ht="15.75" customHeight="1">
      <c r="A28" s="7" t="s">
        <v>222</v>
      </c>
      <c r="B28" s="9">
        <f>'Assumptions '!$B$49</f>
        <v>50000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0.0</v>
      </c>
      <c r="O28" s="15">
        <f t="shared" si="11"/>
        <v>50000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9:O9"/>
    <mergeCell ref="A17:O17"/>
    <mergeCell ref="A25:O25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14" width="13.13"/>
    <col customWidth="1" min="15" max="15" width="14.88"/>
    <col customWidth="1" min="16" max="26" width="7.63"/>
  </cols>
  <sheetData>
    <row r="1">
      <c r="A1" s="2" t="s">
        <v>208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 t="s">
        <v>5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>
      <c r="A3" s="7" t="s">
        <v>209</v>
      </c>
      <c r="B3" s="9">
        <f t="shared" ref="B3:N3" si="1">B14</f>
        <v>0</v>
      </c>
      <c r="C3" s="9">
        <f t="shared" si="1"/>
        <v>51366.15531</v>
      </c>
      <c r="D3" s="9">
        <f t="shared" si="1"/>
        <v>51366.15531</v>
      </c>
      <c r="E3" s="9">
        <f t="shared" si="1"/>
        <v>256830.7766</v>
      </c>
      <c r="F3" s="9">
        <f t="shared" si="1"/>
        <v>513661.5531</v>
      </c>
      <c r="G3" s="9">
        <f t="shared" si="1"/>
        <v>1027323.106</v>
      </c>
      <c r="H3" s="9">
        <f t="shared" si="1"/>
        <v>1027323.106</v>
      </c>
      <c r="I3" s="9">
        <f t="shared" si="1"/>
        <v>1027323.106</v>
      </c>
      <c r="J3" s="9">
        <f t="shared" si="1"/>
        <v>1027323.106</v>
      </c>
      <c r="K3" s="9">
        <f t="shared" si="1"/>
        <v>1027323.106</v>
      </c>
      <c r="L3" s="9">
        <f t="shared" si="1"/>
        <v>1027323.106</v>
      </c>
      <c r="M3" s="9">
        <f t="shared" si="1"/>
        <v>1027323.106</v>
      </c>
      <c r="N3" s="9">
        <f t="shared" si="1"/>
        <v>1027323.106</v>
      </c>
      <c r="O3" s="15">
        <f t="shared" ref="O3:O5" si="3">SUM(B3:N3)</f>
        <v>9091809.491</v>
      </c>
    </row>
    <row r="4">
      <c r="A4" s="7" t="s">
        <v>210</v>
      </c>
      <c r="B4" s="9">
        <f t="shared" ref="B4:N4" si="2">B20</f>
        <v>0</v>
      </c>
      <c r="C4" s="9">
        <f t="shared" si="2"/>
        <v>5000</v>
      </c>
      <c r="D4" s="9">
        <f t="shared" si="2"/>
        <v>5000</v>
      </c>
      <c r="E4" s="9">
        <f t="shared" si="2"/>
        <v>25000</v>
      </c>
      <c r="F4" s="9">
        <f t="shared" si="2"/>
        <v>50000</v>
      </c>
      <c r="G4" s="9">
        <f t="shared" si="2"/>
        <v>100000</v>
      </c>
      <c r="H4" s="9">
        <f t="shared" si="2"/>
        <v>100000</v>
      </c>
      <c r="I4" s="9">
        <f t="shared" si="2"/>
        <v>100000</v>
      </c>
      <c r="J4" s="9">
        <f t="shared" si="2"/>
        <v>100000</v>
      </c>
      <c r="K4" s="9">
        <f t="shared" si="2"/>
        <v>100000</v>
      </c>
      <c r="L4" s="9">
        <f t="shared" si="2"/>
        <v>100000</v>
      </c>
      <c r="M4" s="9">
        <f t="shared" si="2"/>
        <v>100000</v>
      </c>
      <c r="N4" s="9">
        <f t="shared" si="2"/>
        <v>100000</v>
      </c>
      <c r="O4" s="15">
        <f t="shared" si="3"/>
        <v>885000</v>
      </c>
    </row>
    <row r="5">
      <c r="A5" s="17" t="s">
        <v>0</v>
      </c>
      <c r="B5" s="18">
        <f t="shared" ref="B5:N5" si="4">SUM(B3:B4)</f>
        <v>0</v>
      </c>
      <c r="C5" s="18">
        <f t="shared" si="4"/>
        <v>56366.15531</v>
      </c>
      <c r="D5" s="18">
        <f t="shared" si="4"/>
        <v>56366.15531</v>
      </c>
      <c r="E5" s="18">
        <f t="shared" si="4"/>
        <v>281830.7766</v>
      </c>
      <c r="F5" s="18">
        <f t="shared" si="4"/>
        <v>563661.5531</v>
      </c>
      <c r="G5" s="18">
        <f t="shared" si="4"/>
        <v>1127323.106</v>
      </c>
      <c r="H5" s="18">
        <f t="shared" si="4"/>
        <v>1127323.106</v>
      </c>
      <c r="I5" s="18">
        <f t="shared" si="4"/>
        <v>1127323.106</v>
      </c>
      <c r="J5" s="18">
        <f t="shared" si="4"/>
        <v>1127323.106</v>
      </c>
      <c r="K5" s="18">
        <f t="shared" si="4"/>
        <v>1127323.106</v>
      </c>
      <c r="L5" s="18">
        <f t="shared" si="4"/>
        <v>1127323.106</v>
      </c>
      <c r="M5" s="18">
        <f t="shared" si="4"/>
        <v>1127323.106</v>
      </c>
      <c r="N5" s="18">
        <f t="shared" si="4"/>
        <v>1127323.106</v>
      </c>
      <c r="O5" s="18">
        <f t="shared" si="3"/>
        <v>9976809.491</v>
      </c>
    </row>
    <row r="7">
      <c r="A7" s="2" t="s">
        <v>212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5" t="s">
        <v>18</v>
      </c>
      <c r="N8" s="5" t="s">
        <v>19</v>
      </c>
      <c r="O8" s="5" t="s">
        <v>20</v>
      </c>
    </row>
    <row r="9">
      <c r="A9" s="7" t="s">
        <v>214</v>
      </c>
      <c r="B9" s="23">
        <f>'Assumptions '!$B$92*'Payback Analysis '!C$13</f>
        <v>0</v>
      </c>
      <c r="C9" s="23">
        <f>'Assumptions '!$B$92*'Payback Analysis '!D$13</f>
        <v>12344.66602</v>
      </c>
      <c r="D9" s="23">
        <f>'Assumptions '!$B$92*'Payback Analysis '!E$13</f>
        <v>12344.66602</v>
      </c>
      <c r="E9" s="23">
        <f>'Assumptions '!$B$92*'Payback Analysis '!F$13</f>
        <v>61723.33011</v>
      </c>
      <c r="F9" s="23">
        <f>'Assumptions '!$B$92*'Payback Analysis '!G$13</f>
        <v>123446.6602</v>
      </c>
      <c r="G9" s="23">
        <f>'Assumptions '!$B$92*'Payback Analysis '!H$13</f>
        <v>246893.3204</v>
      </c>
      <c r="H9" s="23">
        <f>'Assumptions '!$B$92*'Payback Analysis '!I$13</f>
        <v>246893.3204</v>
      </c>
      <c r="I9" s="23">
        <f>'Assumptions '!$B$92*'Payback Analysis '!J$13</f>
        <v>246893.3204</v>
      </c>
      <c r="J9" s="23">
        <f>'Assumptions '!$B$92*'Payback Analysis '!K$13</f>
        <v>246893.3204</v>
      </c>
      <c r="K9" s="23">
        <f>'Assumptions '!$B$92*'Payback Analysis '!L$13</f>
        <v>246893.3204</v>
      </c>
      <c r="L9" s="23">
        <f>'Assumptions '!$B$92*'Payback Analysis '!M$13</f>
        <v>246893.3204</v>
      </c>
      <c r="M9" s="23">
        <f>'Assumptions '!$B$92*'Payback Analysis '!N$13</f>
        <v>246893.3204</v>
      </c>
      <c r="N9" s="23">
        <f>'Assumptions '!$B$92*'Payback Analysis '!O$13</f>
        <v>246893.3204</v>
      </c>
      <c r="O9" s="25"/>
    </row>
    <row r="10">
      <c r="A10" s="7" t="s">
        <v>220</v>
      </c>
      <c r="B10" s="35">
        <f>'Assumptions '!$B$93</f>
        <v>0.36</v>
      </c>
      <c r="C10" s="35">
        <f>'Assumptions '!$B$93</f>
        <v>0.36</v>
      </c>
      <c r="D10" s="35">
        <f>'Assumptions '!$B$93</f>
        <v>0.36</v>
      </c>
      <c r="E10" s="35">
        <f>'Assumptions '!$B$93</f>
        <v>0.36</v>
      </c>
      <c r="F10" s="35">
        <f>'Assumptions '!$B$93</f>
        <v>0.36</v>
      </c>
      <c r="G10" s="35">
        <f>'Assumptions '!$B$93</f>
        <v>0.36</v>
      </c>
      <c r="H10" s="35">
        <f>'Assumptions '!$B$93</f>
        <v>0.36</v>
      </c>
      <c r="I10" s="35">
        <f>'Assumptions '!$B$93</f>
        <v>0.36</v>
      </c>
      <c r="J10" s="35">
        <f>'Assumptions '!$B$93</f>
        <v>0.36</v>
      </c>
      <c r="K10" s="35">
        <f>'Assumptions '!$B$93</f>
        <v>0.36</v>
      </c>
      <c r="L10" s="35">
        <f>'Assumptions '!$B$93</f>
        <v>0.36</v>
      </c>
      <c r="M10" s="35">
        <f>'Assumptions '!$B$93</f>
        <v>0.36</v>
      </c>
      <c r="N10" s="35">
        <f>'Assumptions '!$B$93</f>
        <v>0.36</v>
      </c>
      <c r="O10" s="37"/>
    </row>
    <row r="11">
      <c r="A11" s="7" t="s">
        <v>67</v>
      </c>
      <c r="B11" s="29">
        <f>('Assumptions '!$B$9/12)</f>
        <v>30.41666667</v>
      </c>
      <c r="C11" s="29">
        <f>('Assumptions '!$B$9/12)</f>
        <v>30.41666667</v>
      </c>
      <c r="D11" s="29">
        <f>('Assumptions '!$B$9/12)</f>
        <v>30.41666667</v>
      </c>
      <c r="E11" s="29">
        <f>('Assumptions '!$B$9/12)</f>
        <v>30.41666667</v>
      </c>
      <c r="F11" s="29">
        <f>('Assumptions '!$B$9/12)</f>
        <v>30.41666667</v>
      </c>
      <c r="G11" s="29">
        <f>('Assumptions '!$B$9/12)</f>
        <v>30.41666667</v>
      </c>
      <c r="H11" s="29">
        <f>('Assumptions '!$B$9/12)</f>
        <v>30.41666667</v>
      </c>
      <c r="I11" s="29">
        <f>('Assumptions '!$B$9/12)</f>
        <v>30.41666667</v>
      </c>
      <c r="J11" s="29">
        <f>('Assumptions '!$B$9/12)</f>
        <v>30.41666667</v>
      </c>
      <c r="K11" s="29">
        <f>('Assumptions '!$B$9/12)</f>
        <v>30.41666667</v>
      </c>
      <c r="L11" s="29">
        <f>('Assumptions '!$B$9/12)</f>
        <v>30.41666667</v>
      </c>
      <c r="M11" s="29">
        <f>('Assumptions '!$B$9/12)</f>
        <v>30.41666667</v>
      </c>
      <c r="N11" s="29">
        <f>('Assumptions '!$B$9/12)</f>
        <v>30.41666667</v>
      </c>
      <c r="O11" s="34"/>
    </row>
    <row r="12">
      <c r="A12" s="7" t="s">
        <v>225</v>
      </c>
      <c r="B12" s="23">
        <f t="shared" ref="B12:N12" si="5">B9*B10*B11</f>
        <v>0</v>
      </c>
      <c r="C12" s="23">
        <f t="shared" si="5"/>
        <v>135174.0929</v>
      </c>
      <c r="D12" s="23">
        <f t="shared" si="5"/>
        <v>135174.0929</v>
      </c>
      <c r="E12" s="23">
        <f t="shared" si="5"/>
        <v>675870.4647</v>
      </c>
      <c r="F12" s="23">
        <f t="shared" si="5"/>
        <v>1351740.929</v>
      </c>
      <c r="G12" s="23">
        <f t="shared" si="5"/>
        <v>2703481.859</v>
      </c>
      <c r="H12" s="23">
        <f t="shared" si="5"/>
        <v>2703481.859</v>
      </c>
      <c r="I12" s="23">
        <f t="shared" si="5"/>
        <v>2703481.859</v>
      </c>
      <c r="J12" s="23">
        <f t="shared" si="5"/>
        <v>2703481.859</v>
      </c>
      <c r="K12" s="23">
        <f t="shared" si="5"/>
        <v>2703481.859</v>
      </c>
      <c r="L12" s="23">
        <f t="shared" si="5"/>
        <v>2703481.859</v>
      </c>
      <c r="M12" s="23">
        <f t="shared" si="5"/>
        <v>2703481.859</v>
      </c>
      <c r="N12" s="23">
        <f t="shared" si="5"/>
        <v>2703481.859</v>
      </c>
      <c r="O12" s="25">
        <f>SUM(B12:N12)</f>
        <v>23925814.45</v>
      </c>
    </row>
    <row r="13">
      <c r="A13" s="7" t="s">
        <v>228</v>
      </c>
      <c r="B13" s="47">
        <f>'Assumptions '!$B$102</f>
        <v>0.38</v>
      </c>
      <c r="C13" s="47">
        <f>'Assumptions '!$B$102</f>
        <v>0.38</v>
      </c>
      <c r="D13" s="47">
        <f>'Assumptions '!$B$102</f>
        <v>0.38</v>
      </c>
      <c r="E13" s="47">
        <f>'Assumptions '!$B$102</f>
        <v>0.38</v>
      </c>
      <c r="F13" s="47">
        <f>'Assumptions '!$B$102</f>
        <v>0.38</v>
      </c>
      <c r="G13" s="47">
        <f>'Assumptions '!$B$102</f>
        <v>0.38</v>
      </c>
      <c r="H13" s="47">
        <f>'Assumptions '!$B$102</f>
        <v>0.38</v>
      </c>
      <c r="I13" s="47">
        <f>'Assumptions '!$B$102</f>
        <v>0.38</v>
      </c>
      <c r="J13" s="47">
        <f>'Assumptions '!$B$102</f>
        <v>0.38</v>
      </c>
      <c r="K13" s="47">
        <f>'Assumptions '!$B$102</f>
        <v>0.38</v>
      </c>
      <c r="L13" s="47">
        <f>'Assumptions '!$B$102</f>
        <v>0.38</v>
      </c>
      <c r="M13" s="47">
        <f>'Assumptions '!$B$102</f>
        <v>0.38</v>
      </c>
      <c r="N13" s="47">
        <f>'Assumptions '!$B$102</f>
        <v>0.38</v>
      </c>
      <c r="O13" s="48"/>
    </row>
    <row r="14">
      <c r="A14" s="7" t="s">
        <v>58</v>
      </c>
      <c r="B14" s="9">
        <f t="shared" ref="B14:N14" si="6">B12*B13</f>
        <v>0</v>
      </c>
      <c r="C14" s="9">
        <f t="shared" si="6"/>
        <v>51366.15531</v>
      </c>
      <c r="D14" s="9">
        <f t="shared" si="6"/>
        <v>51366.15531</v>
      </c>
      <c r="E14" s="9">
        <f t="shared" si="6"/>
        <v>256830.7766</v>
      </c>
      <c r="F14" s="9">
        <f t="shared" si="6"/>
        <v>513661.5531</v>
      </c>
      <c r="G14" s="9">
        <f t="shared" si="6"/>
        <v>1027323.106</v>
      </c>
      <c r="H14" s="9">
        <f t="shared" si="6"/>
        <v>1027323.106</v>
      </c>
      <c r="I14" s="9">
        <f t="shared" si="6"/>
        <v>1027323.106</v>
      </c>
      <c r="J14" s="9">
        <f t="shared" si="6"/>
        <v>1027323.106</v>
      </c>
      <c r="K14" s="9">
        <f t="shared" si="6"/>
        <v>1027323.106</v>
      </c>
      <c r="L14" s="9">
        <f t="shared" si="6"/>
        <v>1027323.106</v>
      </c>
      <c r="M14" s="9">
        <f t="shared" si="6"/>
        <v>1027323.106</v>
      </c>
      <c r="N14" s="9">
        <f t="shared" si="6"/>
        <v>1027323.106</v>
      </c>
      <c r="O14" s="15">
        <f>SUM(B14:N14)</f>
        <v>9091809.491</v>
      </c>
    </row>
    <row r="16">
      <c r="A16" s="2" t="s">
        <v>234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</row>
    <row r="17">
      <c r="A17" s="5" t="s">
        <v>6</v>
      </c>
      <c r="B17" s="5" t="s">
        <v>7</v>
      </c>
      <c r="C17" s="5" t="s">
        <v>8</v>
      </c>
      <c r="D17" s="5" t="s">
        <v>9</v>
      </c>
      <c r="E17" s="5" t="s">
        <v>10</v>
      </c>
      <c r="F17" s="5" t="s">
        <v>11</v>
      </c>
      <c r="G17" s="5" t="s">
        <v>12</v>
      </c>
      <c r="H17" s="5" t="s">
        <v>13</v>
      </c>
      <c r="I17" s="5" t="s">
        <v>14</v>
      </c>
      <c r="J17" s="5" t="s">
        <v>15</v>
      </c>
      <c r="K17" s="5" t="s">
        <v>16</v>
      </c>
      <c r="L17" s="5" t="s">
        <v>17</v>
      </c>
      <c r="M17" s="5" t="s">
        <v>18</v>
      </c>
      <c r="N17" s="5" t="s">
        <v>19</v>
      </c>
      <c r="O17" s="5" t="s">
        <v>20</v>
      </c>
    </row>
    <row r="18">
      <c r="A18" s="7" t="s">
        <v>235</v>
      </c>
      <c r="B18" s="23">
        <f>'Assumptions '!$B$53*'Payback Analysis '!C$13</f>
        <v>0</v>
      </c>
      <c r="C18" s="23">
        <f>'Assumptions '!$B$53*'Payback Analysis '!D$13</f>
        <v>25</v>
      </c>
      <c r="D18" s="23">
        <f>'Assumptions '!$B$53*'Payback Analysis '!E$13</f>
        <v>25</v>
      </c>
      <c r="E18" s="23">
        <f>'Assumptions '!$B$53*'Payback Analysis '!F$13</f>
        <v>125</v>
      </c>
      <c r="F18" s="23">
        <f>'Assumptions '!$B$53*'Payback Analysis '!G$13</f>
        <v>250</v>
      </c>
      <c r="G18" s="23">
        <f>'Assumptions '!$B$53*'Payback Analysis '!H$13</f>
        <v>500</v>
      </c>
      <c r="H18" s="23">
        <f>'Assumptions '!$B$53*'Payback Analysis '!I$13</f>
        <v>500</v>
      </c>
      <c r="I18" s="23">
        <f>'Assumptions '!$B$53*'Payback Analysis '!J$13</f>
        <v>500</v>
      </c>
      <c r="J18" s="23">
        <f>'Assumptions '!$B$53*'Payback Analysis '!K$13</f>
        <v>500</v>
      </c>
      <c r="K18" s="23">
        <f>'Assumptions '!$B$53*'Payback Analysis '!L$13</f>
        <v>500</v>
      </c>
      <c r="L18" s="23">
        <f>'Assumptions '!$B$53*'Payback Analysis '!M$13</f>
        <v>500</v>
      </c>
      <c r="M18" s="23">
        <f>'Assumptions '!$B$53*'Payback Analysis '!N$13</f>
        <v>500</v>
      </c>
      <c r="N18" s="23">
        <f>'Assumptions '!$B$53*'Payback Analysis '!O$13</f>
        <v>500</v>
      </c>
      <c r="O18" s="25"/>
    </row>
    <row r="19">
      <c r="A19" s="7" t="s">
        <v>236</v>
      </c>
      <c r="B19" s="9">
        <f>'Assumptions '!$B$54</f>
        <v>200</v>
      </c>
      <c r="C19" s="9">
        <f>'Assumptions '!$B$54</f>
        <v>200</v>
      </c>
      <c r="D19" s="9">
        <f>'Assumptions '!$B$54</f>
        <v>200</v>
      </c>
      <c r="E19" s="9">
        <f>'Assumptions '!$B$54</f>
        <v>200</v>
      </c>
      <c r="F19" s="9">
        <f>'Assumptions '!$B$54</f>
        <v>200</v>
      </c>
      <c r="G19" s="9">
        <f>'Assumptions '!$B$54</f>
        <v>200</v>
      </c>
      <c r="H19" s="9">
        <f>'Assumptions '!$B$54</f>
        <v>200</v>
      </c>
      <c r="I19" s="9">
        <f>'Assumptions '!$B$54</f>
        <v>200</v>
      </c>
      <c r="J19" s="9">
        <f>'Assumptions '!$B$54</f>
        <v>200</v>
      </c>
      <c r="K19" s="9">
        <f>'Assumptions '!$B$54</f>
        <v>200</v>
      </c>
      <c r="L19" s="9">
        <f>'Assumptions '!$B$54</f>
        <v>200</v>
      </c>
      <c r="M19" s="9">
        <f>'Assumptions '!$B$54</f>
        <v>200</v>
      </c>
      <c r="N19" s="9">
        <f>'Assumptions '!$B$54</f>
        <v>200</v>
      </c>
      <c r="O19" s="15"/>
    </row>
    <row r="20">
      <c r="A20" s="7" t="s">
        <v>58</v>
      </c>
      <c r="B20" s="9">
        <f t="shared" ref="B20:N20" si="7">B18*B19</f>
        <v>0</v>
      </c>
      <c r="C20" s="9">
        <f t="shared" si="7"/>
        <v>5000</v>
      </c>
      <c r="D20" s="9">
        <f t="shared" si="7"/>
        <v>5000</v>
      </c>
      <c r="E20" s="9">
        <f t="shared" si="7"/>
        <v>25000</v>
      </c>
      <c r="F20" s="9">
        <f t="shared" si="7"/>
        <v>50000</v>
      </c>
      <c r="G20" s="9">
        <f t="shared" si="7"/>
        <v>100000</v>
      </c>
      <c r="H20" s="9">
        <f t="shared" si="7"/>
        <v>100000</v>
      </c>
      <c r="I20" s="9">
        <f t="shared" si="7"/>
        <v>100000</v>
      </c>
      <c r="J20" s="9">
        <f t="shared" si="7"/>
        <v>100000</v>
      </c>
      <c r="K20" s="9">
        <f t="shared" si="7"/>
        <v>100000</v>
      </c>
      <c r="L20" s="9">
        <f t="shared" si="7"/>
        <v>100000</v>
      </c>
      <c r="M20" s="9">
        <f t="shared" si="7"/>
        <v>100000</v>
      </c>
      <c r="N20" s="9">
        <f t="shared" si="7"/>
        <v>100000</v>
      </c>
      <c r="O20" s="15">
        <f>SUM(B20:N20)</f>
        <v>885000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7:O7"/>
    <mergeCell ref="A16:O16"/>
  </mergeCell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8.5"/>
    <col customWidth="1" min="2" max="14" width="13.13"/>
    <col customWidth="1" min="15" max="15" width="14.88"/>
    <col customWidth="1" min="16" max="26" width="7.63"/>
  </cols>
  <sheetData>
    <row r="1">
      <c r="A1" s="2" t="s">
        <v>215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 t="s">
        <v>5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>
      <c r="A3" s="7" t="s">
        <v>216</v>
      </c>
      <c r="B3" s="9">
        <f t="shared" ref="B3:N3" si="1">B36</f>
        <v>0</v>
      </c>
      <c r="C3" s="9">
        <f t="shared" si="1"/>
        <v>46800</v>
      </c>
      <c r="D3" s="9">
        <f t="shared" si="1"/>
        <v>46800</v>
      </c>
      <c r="E3" s="9">
        <f t="shared" si="1"/>
        <v>46800</v>
      </c>
      <c r="F3" s="9">
        <f t="shared" si="1"/>
        <v>46800</v>
      </c>
      <c r="G3" s="9">
        <f t="shared" si="1"/>
        <v>46800</v>
      </c>
      <c r="H3" s="9">
        <f t="shared" si="1"/>
        <v>46800</v>
      </c>
      <c r="I3" s="9">
        <f t="shared" si="1"/>
        <v>46800</v>
      </c>
      <c r="J3" s="9">
        <f t="shared" si="1"/>
        <v>46800</v>
      </c>
      <c r="K3" s="9">
        <f t="shared" si="1"/>
        <v>46800</v>
      </c>
      <c r="L3" s="9">
        <f t="shared" si="1"/>
        <v>46800</v>
      </c>
      <c r="M3" s="9">
        <f t="shared" si="1"/>
        <v>46800</v>
      </c>
      <c r="N3" s="9">
        <f t="shared" si="1"/>
        <v>46800</v>
      </c>
      <c r="O3" s="15">
        <f t="shared" ref="O3:O15" si="3">SUM(B3:N3)</f>
        <v>561600</v>
      </c>
    </row>
    <row r="4">
      <c r="A4" s="7" t="s">
        <v>219</v>
      </c>
      <c r="B4" s="9">
        <f t="shared" ref="B4:N4" si="2">B37</f>
        <v>0</v>
      </c>
      <c r="C4" s="9">
        <f t="shared" si="2"/>
        <v>30800</v>
      </c>
      <c r="D4" s="9">
        <f t="shared" si="2"/>
        <v>30800</v>
      </c>
      <c r="E4" s="9">
        <f t="shared" si="2"/>
        <v>30800</v>
      </c>
      <c r="F4" s="9">
        <f t="shared" si="2"/>
        <v>30800</v>
      </c>
      <c r="G4" s="9">
        <f t="shared" si="2"/>
        <v>30800</v>
      </c>
      <c r="H4" s="9">
        <f t="shared" si="2"/>
        <v>30800</v>
      </c>
      <c r="I4" s="9">
        <f t="shared" si="2"/>
        <v>30800</v>
      </c>
      <c r="J4" s="9">
        <f t="shared" si="2"/>
        <v>30800</v>
      </c>
      <c r="K4" s="9">
        <f t="shared" si="2"/>
        <v>30800</v>
      </c>
      <c r="L4" s="9">
        <f t="shared" si="2"/>
        <v>30800</v>
      </c>
      <c r="M4" s="9">
        <f t="shared" si="2"/>
        <v>30800</v>
      </c>
      <c r="N4" s="9">
        <f t="shared" si="2"/>
        <v>30800</v>
      </c>
      <c r="O4" s="15">
        <f t="shared" si="3"/>
        <v>369600</v>
      </c>
    </row>
    <row r="5">
      <c r="A5" s="7" t="s">
        <v>221</v>
      </c>
      <c r="B5" s="9">
        <f t="shared" ref="B5:N5" si="4">B38</f>
        <v>0</v>
      </c>
      <c r="C5" s="9">
        <f t="shared" si="4"/>
        <v>328.5914583</v>
      </c>
      <c r="D5" s="9">
        <f t="shared" si="4"/>
        <v>328.5914583</v>
      </c>
      <c r="E5" s="9">
        <f t="shared" si="4"/>
        <v>1642.957291</v>
      </c>
      <c r="F5" s="9">
        <f t="shared" si="4"/>
        <v>3285.914583</v>
      </c>
      <c r="G5" s="9">
        <f t="shared" si="4"/>
        <v>6571.829165</v>
      </c>
      <c r="H5" s="9">
        <f t="shared" si="4"/>
        <v>6571.829165</v>
      </c>
      <c r="I5" s="9">
        <f t="shared" si="4"/>
        <v>6571.829165</v>
      </c>
      <c r="J5" s="9">
        <f t="shared" si="4"/>
        <v>6571.829165</v>
      </c>
      <c r="K5" s="9">
        <f t="shared" si="4"/>
        <v>6571.829165</v>
      </c>
      <c r="L5" s="9">
        <f t="shared" si="4"/>
        <v>6571.829165</v>
      </c>
      <c r="M5" s="9">
        <f t="shared" si="4"/>
        <v>6571.829165</v>
      </c>
      <c r="N5" s="9">
        <f t="shared" si="4"/>
        <v>6571.829165</v>
      </c>
      <c r="O5" s="15">
        <f t="shared" si="3"/>
        <v>58160.68811</v>
      </c>
    </row>
    <row r="6">
      <c r="A6" s="7" t="s">
        <v>223</v>
      </c>
      <c r="B6" s="9">
        <f t="shared" ref="B6:N6" si="5">B39</f>
        <v>0</v>
      </c>
      <c r="C6" s="9">
        <f t="shared" si="5"/>
        <v>23400</v>
      </c>
      <c r="D6" s="9">
        <f t="shared" si="5"/>
        <v>23400</v>
      </c>
      <c r="E6" s="9">
        <f t="shared" si="5"/>
        <v>23400</v>
      </c>
      <c r="F6" s="9">
        <f t="shared" si="5"/>
        <v>23400</v>
      </c>
      <c r="G6" s="9">
        <f t="shared" si="5"/>
        <v>23400</v>
      </c>
      <c r="H6" s="9">
        <f t="shared" si="5"/>
        <v>23400</v>
      </c>
      <c r="I6" s="9">
        <f t="shared" si="5"/>
        <v>23400</v>
      </c>
      <c r="J6" s="9">
        <f t="shared" si="5"/>
        <v>23400</v>
      </c>
      <c r="K6" s="9">
        <f t="shared" si="5"/>
        <v>23400</v>
      </c>
      <c r="L6" s="9">
        <f t="shared" si="5"/>
        <v>23400</v>
      </c>
      <c r="M6" s="9">
        <f t="shared" si="5"/>
        <v>23400</v>
      </c>
      <c r="N6" s="9">
        <f t="shared" si="5"/>
        <v>23400</v>
      </c>
      <c r="O6" s="15">
        <f t="shared" si="3"/>
        <v>280800</v>
      </c>
    </row>
    <row r="7">
      <c r="A7" s="7" t="s">
        <v>224</v>
      </c>
      <c r="B7" s="9">
        <f t="shared" ref="B7:N7" si="6">B24</f>
        <v>0</v>
      </c>
      <c r="C7" s="9">
        <f t="shared" si="6"/>
        <v>459900</v>
      </c>
      <c r="D7" s="9">
        <f t="shared" si="6"/>
        <v>459900</v>
      </c>
      <c r="E7" s="9">
        <f t="shared" si="6"/>
        <v>2299500</v>
      </c>
      <c r="F7" s="9">
        <f t="shared" si="6"/>
        <v>4599000</v>
      </c>
      <c r="G7" s="9">
        <f t="shared" si="6"/>
        <v>9198000</v>
      </c>
      <c r="H7" s="9">
        <f t="shared" si="6"/>
        <v>9198000</v>
      </c>
      <c r="I7" s="9">
        <f t="shared" si="6"/>
        <v>9198000</v>
      </c>
      <c r="J7" s="9">
        <f t="shared" si="6"/>
        <v>9198000</v>
      </c>
      <c r="K7" s="9">
        <f t="shared" si="6"/>
        <v>9198000</v>
      </c>
      <c r="L7" s="9">
        <f t="shared" si="6"/>
        <v>9198000</v>
      </c>
      <c r="M7" s="9">
        <f t="shared" si="6"/>
        <v>9198000</v>
      </c>
      <c r="N7" s="9">
        <f t="shared" si="6"/>
        <v>9198000</v>
      </c>
      <c r="O7" s="15">
        <f t="shared" si="3"/>
        <v>81402300</v>
      </c>
    </row>
    <row r="8">
      <c r="A8" s="7" t="s">
        <v>226</v>
      </c>
      <c r="B8" s="9">
        <f t="shared" ref="B8:N8" si="7">B32</f>
        <v>0</v>
      </c>
      <c r="C8" s="9">
        <f t="shared" si="7"/>
        <v>249074.8981</v>
      </c>
      <c r="D8" s="9">
        <f t="shared" si="7"/>
        <v>249074.8981</v>
      </c>
      <c r="E8" s="9">
        <f t="shared" si="7"/>
        <v>1245374.491</v>
      </c>
      <c r="F8" s="9">
        <f t="shared" si="7"/>
        <v>2490748.981</v>
      </c>
      <c r="G8" s="9">
        <f t="shared" si="7"/>
        <v>4981497.962</v>
      </c>
      <c r="H8" s="9">
        <f t="shared" si="7"/>
        <v>4981497.962</v>
      </c>
      <c r="I8" s="9">
        <f t="shared" si="7"/>
        <v>4981497.962</v>
      </c>
      <c r="J8" s="9">
        <f t="shared" si="7"/>
        <v>4981497.962</v>
      </c>
      <c r="K8" s="9">
        <f t="shared" si="7"/>
        <v>4981497.962</v>
      </c>
      <c r="L8" s="9">
        <f t="shared" si="7"/>
        <v>4981497.962</v>
      </c>
      <c r="M8" s="9">
        <f t="shared" si="7"/>
        <v>4981497.962</v>
      </c>
      <c r="N8" s="9">
        <f t="shared" si="7"/>
        <v>4981497.962</v>
      </c>
      <c r="O8" s="15">
        <f t="shared" si="3"/>
        <v>44086256.97</v>
      </c>
    </row>
    <row r="9">
      <c r="A9" s="7" t="s">
        <v>227</v>
      </c>
      <c r="B9" s="9">
        <f t="shared" ref="B9:N9" si="8">B43</f>
        <v>23600</v>
      </c>
      <c r="C9" s="9">
        <f t="shared" si="8"/>
        <v>0</v>
      </c>
      <c r="D9" s="9">
        <f t="shared" si="8"/>
        <v>0</v>
      </c>
      <c r="E9" s="9">
        <f t="shared" si="8"/>
        <v>0</v>
      </c>
      <c r="F9" s="9">
        <f t="shared" si="8"/>
        <v>0</v>
      </c>
      <c r="G9" s="9">
        <f t="shared" si="8"/>
        <v>0</v>
      </c>
      <c r="H9" s="9">
        <f t="shared" si="8"/>
        <v>0</v>
      </c>
      <c r="I9" s="9">
        <f t="shared" si="8"/>
        <v>0</v>
      </c>
      <c r="J9" s="9">
        <f t="shared" si="8"/>
        <v>0</v>
      </c>
      <c r="K9" s="9">
        <f t="shared" si="8"/>
        <v>0</v>
      </c>
      <c r="L9" s="9">
        <f t="shared" si="8"/>
        <v>0</v>
      </c>
      <c r="M9" s="9">
        <f t="shared" si="8"/>
        <v>0</v>
      </c>
      <c r="N9" s="9">
        <f t="shared" si="8"/>
        <v>0</v>
      </c>
      <c r="O9" s="15">
        <f t="shared" si="3"/>
        <v>23600</v>
      </c>
    </row>
    <row r="10">
      <c r="A10" s="7" t="s">
        <v>229</v>
      </c>
      <c r="B10" s="9">
        <f t="shared" ref="B10:N10" si="9">B44</f>
        <v>50000</v>
      </c>
      <c r="C10" s="9">
        <f t="shared" si="9"/>
        <v>0</v>
      </c>
      <c r="D10" s="9">
        <f t="shared" si="9"/>
        <v>0</v>
      </c>
      <c r="E10" s="9">
        <f t="shared" si="9"/>
        <v>0</v>
      </c>
      <c r="F10" s="9">
        <f t="shared" si="9"/>
        <v>0</v>
      </c>
      <c r="G10" s="9">
        <f t="shared" si="9"/>
        <v>0</v>
      </c>
      <c r="H10" s="9">
        <f t="shared" si="9"/>
        <v>0</v>
      </c>
      <c r="I10" s="9">
        <f t="shared" si="9"/>
        <v>0</v>
      </c>
      <c r="J10" s="9">
        <f t="shared" si="9"/>
        <v>0</v>
      </c>
      <c r="K10" s="9">
        <f t="shared" si="9"/>
        <v>0</v>
      </c>
      <c r="L10" s="9">
        <f t="shared" si="9"/>
        <v>0</v>
      </c>
      <c r="M10" s="9">
        <f t="shared" si="9"/>
        <v>0</v>
      </c>
      <c r="N10" s="9">
        <f t="shared" si="9"/>
        <v>0</v>
      </c>
      <c r="O10" s="15">
        <f t="shared" si="3"/>
        <v>50000</v>
      </c>
    </row>
    <row r="11">
      <c r="A11" s="7" t="s">
        <v>230</v>
      </c>
      <c r="B11" s="9">
        <f t="shared" ref="B11:N11" si="10">B45</f>
        <v>500000</v>
      </c>
      <c r="C11" s="9">
        <f t="shared" si="10"/>
        <v>0</v>
      </c>
      <c r="D11" s="9">
        <f t="shared" si="10"/>
        <v>0</v>
      </c>
      <c r="E11" s="9">
        <f t="shared" si="10"/>
        <v>0</v>
      </c>
      <c r="F11" s="9">
        <f t="shared" si="10"/>
        <v>0</v>
      </c>
      <c r="G11" s="9">
        <f t="shared" si="10"/>
        <v>0</v>
      </c>
      <c r="H11" s="9">
        <f t="shared" si="10"/>
        <v>0</v>
      </c>
      <c r="I11" s="9">
        <f t="shared" si="10"/>
        <v>0</v>
      </c>
      <c r="J11" s="9">
        <f t="shared" si="10"/>
        <v>0</v>
      </c>
      <c r="K11" s="9">
        <f t="shared" si="10"/>
        <v>0</v>
      </c>
      <c r="L11" s="9">
        <f t="shared" si="10"/>
        <v>0</v>
      </c>
      <c r="M11" s="9">
        <f t="shared" si="10"/>
        <v>0</v>
      </c>
      <c r="N11" s="9">
        <f t="shared" si="10"/>
        <v>0</v>
      </c>
      <c r="O11" s="15">
        <f t="shared" si="3"/>
        <v>500000</v>
      </c>
    </row>
    <row r="12">
      <c r="A12" s="7" t="s">
        <v>231</v>
      </c>
      <c r="B12" s="9">
        <f t="shared" ref="B12:N12" si="11">B46</f>
        <v>50000</v>
      </c>
      <c r="C12" s="9">
        <f t="shared" si="11"/>
        <v>0</v>
      </c>
      <c r="D12" s="9">
        <f t="shared" si="11"/>
        <v>0</v>
      </c>
      <c r="E12" s="9">
        <f t="shared" si="11"/>
        <v>0</v>
      </c>
      <c r="F12" s="9">
        <f t="shared" si="11"/>
        <v>0</v>
      </c>
      <c r="G12" s="9">
        <f t="shared" si="11"/>
        <v>0</v>
      </c>
      <c r="H12" s="9">
        <f t="shared" si="11"/>
        <v>0</v>
      </c>
      <c r="I12" s="9">
        <f t="shared" si="11"/>
        <v>0</v>
      </c>
      <c r="J12" s="9">
        <f t="shared" si="11"/>
        <v>0</v>
      </c>
      <c r="K12" s="9">
        <f t="shared" si="11"/>
        <v>0</v>
      </c>
      <c r="L12" s="9">
        <f t="shared" si="11"/>
        <v>0</v>
      </c>
      <c r="M12" s="9">
        <f t="shared" si="11"/>
        <v>0</v>
      </c>
      <c r="N12" s="9">
        <f t="shared" si="11"/>
        <v>0</v>
      </c>
      <c r="O12" s="15">
        <f t="shared" si="3"/>
        <v>50000</v>
      </c>
    </row>
    <row r="13">
      <c r="A13" s="7" t="s">
        <v>232</v>
      </c>
      <c r="B13" s="9">
        <f t="shared" ref="B13:N13" si="12">B47</f>
        <v>0</v>
      </c>
      <c r="C13" s="9">
        <f t="shared" si="12"/>
        <v>0</v>
      </c>
      <c r="D13" s="9">
        <f t="shared" si="12"/>
        <v>0</v>
      </c>
      <c r="E13" s="9">
        <f t="shared" si="12"/>
        <v>0</v>
      </c>
      <c r="F13" s="9">
        <f t="shared" si="12"/>
        <v>0</v>
      </c>
      <c r="G13" s="9">
        <f t="shared" si="12"/>
        <v>0</v>
      </c>
      <c r="H13" s="9">
        <f t="shared" si="12"/>
        <v>0</v>
      </c>
      <c r="I13" s="9">
        <f t="shared" si="12"/>
        <v>0</v>
      </c>
      <c r="J13" s="9">
        <f t="shared" si="12"/>
        <v>0</v>
      </c>
      <c r="K13" s="9">
        <f t="shared" si="12"/>
        <v>0</v>
      </c>
      <c r="L13" s="9">
        <f t="shared" si="12"/>
        <v>0</v>
      </c>
      <c r="M13" s="9">
        <f t="shared" si="12"/>
        <v>0</v>
      </c>
      <c r="N13" s="9">
        <f t="shared" si="12"/>
        <v>200000</v>
      </c>
      <c r="O13" s="15">
        <f t="shared" si="3"/>
        <v>200000</v>
      </c>
    </row>
    <row r="14">
      <c r="A14" s="7" t="s">
        <v>233</v>
      </c>
      <c r="B14" s="9">
        <f>'Assumptions '!$B$79*(SUM(B3:B13)+'Final WhatsApp'!B5+'Final SMS'!B7+'Final IVR'!B5)</f>
        <v>67360</v>
      </c>
      <c r="C14" s="9">
        <f>'Assumptions '!$B$79*(SUM(C3:C13)+'Final WhatsApp'!C5+'Final SMS'!C7+'Final IVR'!C5)</f>
        <v>231267.1264</v>
      </c>
      <c r="D14" s="9">
        <f>'Assumptions '!$B$79*(SUM(D3:D13)+'Final WhatsApp'!D5+'Final SMS'!D7+'Final IVR'!D5)</f>
        <v>231267.1264</v>
      </c>
      <c r="E14" s="9">
        <f>'Assumptions '!$B$79*(SUM(E3:E13)+'Final WhatsApp'!E5+'Final SMS'!E7+'Final IVR'!E5)</f>
        <v>1112535.632</v>
      </c>
      <c r="F14" s="9">
        <f>'Assumptions '!$B$79*(SUM(F3:F13)+'Final WhatsApp'!F5+'Final SMS'!F7+'Final IVR'!F5)</f>
        <v>2214121.264</v>
      </c>
      <c r="G14" s="9">
        <f>'Assumptions '!$B$79*(SUM(G3:G13)+'Final WhatsApp'!G5+'Final SMS'!G7+'Final IVR'!G5)</f>
        <v>4417292.528</v>
      </c>
      <c r="H14" s="9">
        <f>'Assumptions '!$B$79*(SUM(H3:H13)+'Final WhatsApp'!H5+'Final SMS'!H7+'Final IVR'!H5)</f>
        <v>4417292.528</v>
      </c>
      <c r="I14" s="9">
        <f>'Assumptions '!$B$79*(SUM(I3:I13)+'Final WhatsApp'!I5+'Final SMS'!I7+'Final IVR'!I5)</f>
        <v>4417292.528</v>
      </c>
      <c r="J14" s="9">
        <f>'Assumptions '!$B$79*(SUM(J3:J13)+'Final WhatsApp'!J5+'Final SMS'!J7+'Final IVR'!J5)</f>
        <v>4417292.528</v>
      </c>
      <c r="K14" s="9">
        <f>'Assumptions '!$B$79*(SUM(K3:K13)+'Final WhatsApp'!K5+'Final SMS'!K7+'Final IVR'!K5)</f>
        <v>4417292.528</v>
      </c>
      <c r="L14" s="9">
        <f>'Assumptions '!$B$79*(SUM(L3:L13)+'Final WhatsApp'!L5+'Final SMS'!L7+'Final IVR'!L5)</f>
        <v>4417292.528</v>
      </c>
      <c r="M14" s="9">
        <f>'Assumptions '!$B$79*(SUM(M3:M13)+'Final WhatsApp'!M5+'Final SMS'!M7+'Final IVR'!M5)</f>
        <v>4417292.528</v>
      </c>
      <c r="N14" s="9">
        <f>'Assumptions '!$B$79*(SUM(N3:N13)+'Final WhatsApp'!N5+'Final SMS'!N7+'Final IVR'!N5)</f>
        <v>4437292.528</v>
      </c>
      <c r="O14" s="15">
        <f t="shared" si="3"/>
        <v>39214891.37</v>
      </c>
    </row>
    <row r="15">
      <c r="A15" s="5" t="s">
        <v>0</v>
      </c>
      <c r="B15" s="49">
        <f t="shared" ref="B15:N15" si="13">SUM(B3:B14)</f>
        <v>690960</v>
      </c>
      <c r="C15" s="49">
        <f t="shared" si="13"/>
        <v>1041570.616</v>
      </c>
      <c r="D15" s="49">
        <f t="shared" si="13"/>
        <v>1041570.616</v>
      </c>
      <c r="E15" s="49">
        <f t="shared" si="13"/>
        <v>4760053.08</v>
      </c>
      <c r="F15" s="49">
        <f t="shared" si="13"/>
        <v>9408156.16</v>
      </c>
      <c r="G15" s="49">
        <f t="shared" si="13"/>
        <v>18704362.32</v>
      </c>
      <c r="H15" s="49">
        <f t="shared" si="13"/>
        <v>18704362.32</v>
      </c>
      <c r="I15" s="49">
        <f t="shared" si="13"/>
        <v>18704362.32</v>
      </c>
      <c r="J15" s="49">
        <f t="shared" si="13"/>
        <v>18704362.32</v>
      </c>
      <c r="K15" s="49">
        <f t="shared" si="13"/>
        <v>18704362.32</v>
      </c>
      <c r="L15" s="49">
        <f t="shared" si="13"/>
        <v>18704362.32</v>
      </c>
      <c r="M15" s="49">
        <f t="shared" si="13"/>
        <v>18704362.32</v>
      </c>
      <c r="N15" s="49">
        <f t="shared" si="13"/>
        <v>18924362.32</v>
      </c>
      <c r="O15" s="49">
        <f t="shared" si="3"/>
        <v>166797209</v>
      </c>
    </row>
    <row r="17">
      <c r="A17" s="2" t="s">
        <v>237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</row>
    <row r="18">
      <c r="A18" s="5" t="s">
        <v>6</v>
      </c>
      <c r="B18" s="5" t="s">
        <v>7</v>
      </c>
      <c r="C18" s="5" t="s">
        <v>8</v>
      </c>
      <c r="D18" s="5" t="s">
        <v>9</v>
      </c>
      <c r="E18" s="5" t="s">
        <v>10</v>
      </c>
      <c r="F18" s="5" t="s">
        <v>11</v>
      </c>
      <c r="G18" s="5" t="s">
        <v>12</v>
      </c>
      <c r="H18" s="5" t="s">
        <v>13</v>
      </c>
      <c r="I18" s="5" t="s">
        <v>14</v>
      </c>
      <c r="J18" s="5" t="s">
        <v>15</v>
      </c>
      <c r="K18" s="5" t="s">
        <v>16</v>
      </c>
      <c r="L18" s="5" t="s">
        <v>17</v>
      </c>
      <c r="M18" s="5" t="s">
        <v>18</v>
      </c>
      <c r="N18" s="5" t="s">
        <v>19</v>
      </c>
      <c r="O18" s="5" t="s">
        <v>20</v>
      </c>
    </row>
    <row r="19">
      <c r="A19" s="7" t="s">
        <v>238</v>
      </c>
      <c r="B19" s="23">
        <f>'Assumptions '!$B$89*'Payback Analysis '!C$13</f>
        <v>0</v>
      </c>
      <c r="C19" s="23">
        <f>'Assumptions '!$B$89*'Payback Analysis '!D$13</f>
        <v>33600</v>
      </c>
      <c r="D19" s="23">
        <f>'Assumptions '!$B$89*'Payback Analysis '!E$13</f>
        <v>33600</v>
      </c>
      <c r="E19" s="23">
        <f>'Assumptions '!$B$89*'Payback Analysis '!F$13</f>
        <v>168000</v>
      </c>
      <c r="F19" s="23">
        <f>'Assumptions '!$B$89*'Payback Analysis '!G$13</f>
        <v>336000</v>
      </c>
      <c r="G19" s="23">
        <f>'Assumptions '!$B$89*'Payback Analysis '!H$13</f>
        <v>672000</v>
      </c>
      <c r="H19" s="23">
        <f>'Assumptions '!$B$89*'Payback Analysis '!I$13</f>
        <v>672000</v>
      </c>
      <c r="I19" s="23">
        <f>'Assumptions '!$B$89*'Payback Analysis '!J$13</f>
        <v>672000</v>
      </c>
      <c r="J19" s="23">
        <f>'Assumptions '!$B$89*'Payback Analysis '!K$13</f>
        <v>672000</v>
      </c>
      <c r="K19" s="23">
        <f>'Assumptions '!$B$89*'Payback Analysis '!L$13</f>
        <v>672000</v>
      </c>
      <c r="L19" s="23">
        <f>'Assumptions '!$B$89*'Payback Analysis '!M$13</f>
        <v>672000</v>
      </c>
      <c r="M19" s="23">
        <f>'Assumptions '!$B$89*'Payback Analysis '!N$13</f>
        <v>672000</v>
      </c>
      <c r="N19" s="23">
        <f>'Assumptions '!$B$89*'Payback Analysis '!O$13</f>
        <v>672000</v>
      </c>
      <c r="O19" s="25"/>
    </row>
    <row r="20">
      <c r="A20" s="7" t="s">
        <v>239</v>
      </c>
      <c r="B20" s="35">
        <f>'Assumptions '!$B$37</f>
        <v>0.03</v>
      </c>
      <c r="C20" s="35">
        <f>'Assumptions '!$B$37</f>
        <v>0.03</v>
      </c>
      <c r="D20" s="35">
        <f>'Assumptions '!$B$37</f>
        <v>0.03</v>
      </c>
      <c r="E20" s="35">
        <f>'Assumptions '!$B$37</f>
        <v>0.03</v>
      </c>
      <c r="F20" s="35">
        <f>'Assumptions '!$B$37</f>
        <v>0.03</v>
      </c>
      <c r="G20" s="35">
        <f>'Assumptions '!$B$37</f>
        <v>0.03</v>
      </c>
      <c r="H20" s="35">
        <f>'Assumptions '!$B$37</f>
        <v>0.03</v>
      </c>
      <c r="I20" s="35">
        <f>'Assumptions '!$B$37</f>
        <v>0.03</v>
      </c>
      <c r="J20" s="35">
        <f>'Assumptions '!$B$37</f>
        <v>0.03</v>
      </c>
      <c r="K20" s="35">
        <f>'Assumptions '!$B$37</f>
        <v>0.03</v>
      </c>
      <c r="L20" s="35">
        <f>'Assumptions '!$B$37</f>
        <v>0.03</v>
      </c>
      <c r="M20" s="35">
        <f>'Assumptions '!$B$37</f>
        <v>0.03</v>
      </c>
      <c r="N20" s="35">
        <f>'Assumptions '!$B$37</f>
        <v>0.03</v>
      </c>
      <c r="O20" s="37"/>
    </row>
    <row r="21" ht="15.75" customHeight="1">
      <c r="A21" s="7" t="s">
        <v>67</v>
      </c>
      <c r="B21" s="29">
        <f>('Assumptions '!$B$9/12)</f>
        <v>30.41666667</v>
      </c>
      <c r="C21" s="29">
        <f>('Assumptions '!$B$9/12)</f>
        <v>30.41666667</v>
      </c>
      <c r="D21" s="29">
        <f>('Assumptions '!$B$9/12)</f>
        <v>30.41666667</v>
      </c>
      <c r="E21" s="29">
        <f>('Assumptions '!$B$9/12)</f>
        <v>30.41666667</v>
      </c>
      <c r="F21" s="29">
        <f>('Assumptions '!$B$9/12)</f>
        <v>30.41666667</v>
      </c>
      <c r="G21" s="29">
        <f>('Assumptions '!$B$9/12)</f>
        <v>30.41666667</v>
      </c>
      <c r="H21" s="29">
        <f>('Assumptions '!$B$9/12)</f>
        <v>30.41666667</v>
      </c>
      <c r="I21" s="29">
        <f>('Assumptions '!$B$9/12)</f>
        <v>30.41666667</v>
      </c>
      <c r="J21" s="29">
        <f>('Assumptions '!$B$9/12)</f>
        <v>30.41666667</v>
      </c>
      <c r="K21" s="29">
        <f>('Assumptions '!$B$9/12)</f>
        <v>30.41666667</v>
      </c>
      <c r="L21" s="29">
        <f>('Assumptions '!$B$9/12)</f>
        <v>30.41666667</v>
      </c>
      <c r="M21" s="29">
        <f>('Assumptions '!$B$9/12)</f>
        <v>30.41666667</v>
      </c>
      <c r="N21" s="29">
        <f>('Assumptions '!$B$9/12)</f>
        <v>30.41666667</v>
      </c>
      <c r="O21" s="34"/>
    </row>
    <row r="22" ht="15.75" customHeight="1">
      <c r="A22" s="7" t="s">
        <v>249</v>
      </c>
      <c r="B22" s="23">
        <f t="shared" ref="B22:N22" si="14">B19*B20*B21</f>
        <v>0</v>
      </c>
      <c r="C22" s="23">
        <f t="shared" si="14"/>
        <v>30660</v>
      </c>
      <c r="D22" s="23">
        <f t="shared" si="14"/>
        <v>30660</v>
      </c>
      <c r="E22" s="23">
        <f t="shared" si="14"/>
        <v>153300</v>
      </c>
      <c r="F22" s="23">
        <f t="shared" si="14"/>
        <v>306600</v>
      </c>
      <c r="G22" s="23">
        <f t="shared" si="14"/>
        <v>613200</v>
      </c>
      <c r="H22" s="23">
        <f t="shared" si="14"/>
        <v>613200</v>
      </c>
      <c r="I22" s="23">
        <f t="shared" si="14"/>
        <v>613200</v>
      </c>
      <c r="J22" s="23">
        <f t="shared" si="14"/>
        <v>613200</v>
      </c>
      <c r="K22" s="23">
        <f t="shared" si="14"/>
        <v>613200</v>
      </c>
      <c r="L22" s="23">
        <f t="shared" si="14"/>
        <v>613200</v>
      </c>
      <c r="M22" s="23">
        <f t="shared" si="14"/>
        <v>613200</v>
      </c>
      <c r="N22" s="23">
        <f t="shared" si="14"/>
        <v>613200</v>
      </c>
      <c r="O22" s="25">
        <f>SUM(B22:N22)</f>
        <v>5426820</v>
      </c>
    </row>
    <row r="23" ht="15.75" customHeight="1">
      <c r="A23" s="7" t="s">
        <v>268</v>
      </c>
      <c r="B23" s="9">
        <f>'Assumptions '!$B$38</f>
        <v>15</v>
      </c>
      <c r="C23" s="9">
        <f>'Assumptions '!$B$38</f>
        <v>15</v>
      </c>
      <c r="D23" s="9">
        <f>'Assumptions '!$B$38</f>
        <v>15</v>
      </c>
      <c r="E23" s="9">
        <f>'Assumptions '!$B$38</f>
        <v>15</v>
      </c>
      <c r="F23" s="9">
        <f>'Assumptions '!$B$38</f>
        <v>15</v>
      </c>
      <c r="G23" s="9">
        <f>'Assumptions '!$B$38</f>
        <v>15</v>
      </c>
      <c r="H23" s="9">
        <f>'Assumptions '!$B$38</f>
        <v>15</v>
      </c>
      <c r="I23" s="9">
        <f>'Assumptions '!$B$38</f>
        <v>15</v>
      </c>
      <c r="J23" s="9">
        <f>'Assumptions '!$B$38</f>
        <v>15</v>
      </c>
      <c r="K23" s="9">
        <f>'Assumptions '!$B$38</f>
        <v>15</v>
      </c>
      <c r="L23" s="9">
        <f>'Assumptions '!$B$38</f>
        <v>15</v>
      </c>
      <c r="M23" s="9">
        <f>'Assumptions '!$B$38</f>
        <v>15</v>
      </c>
      <c r="N23" s="9">
        <f>'Assumptions '!$B$38</f>
        <v>15</v>
      </c>
      <c r="O23" s="15"/>
    </row>
    <row r="24" ht="15.75" customHeight="1">
      <c r="A24" s="7" t="s">
        <v>58</v>
      </c>
      <c r="B24" s="9">
        <f t="shared" ref="B24:N24" si="15">B22*B23</f>
        <v>0</v>
      </c>
      <c r="C24" s="9">
        <f t="shared" si="15"/>
        <v>459900</v>
      </c>
      <c r="D24" s="9">
        <f t="shared" si="15"/>
        <v>459900</v>
      </c>
      <c r="E24" s="9">
        <f t="shared" si="15"/>
        <v>2299500</v>
      </c>
      <c r="F24" s="9">
        <f t="shared" si="15"/>
        <v>4599000</v>
      </c>
      <c r="G24" s="9">
        <f t="shared" si="15"/>
        <v>9198000</v>
      </c>
      <c r="H24" s="9">
        <f t="shared" si="15"/>
        <v>9198000</v>
      </c>
      <c r="I24" s="9">
        <f t="shared" si="15"/>
        <v>9198000</v>
      </c>
      <c r="J24" s="9">
        <f t="shared" si="15"/>
        <v>9198000</v>
      </c>
      <c r="K24" s="9">
        <f t="shared" si="15"/>
        <v>9198000</v>
      </c>
      <c r="L24" s="9">
        <f t="shared" si="15"/>
        <v>9198000</v>
      </c>
      <c r="M24" s="9">
        <f t="shared" si="15"/>
        <v>9198000</v>
      </c>
      <c r="N24" s="9">
        <f t="shared" si="15"/>
        <v>9198000</v>
      </c>
      <c r="O24" s="15">
        <f>SUM(B24:N24)</f>
        <v>81402300</v>
      </c>
    </row>
    <row r="25" ht="15.75" customHeight="1"/>
    <row r="26" ht="15.75" customHeight="1">
      <c r="A26" s="2" t="s">
        <v>279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</row>
    <row r="27" ht="15.75" customHeight="1">
      <c r="A27" s="5" t="s">
        <v>6</v>
      </c>
      <c r="B27" s="5" t="s">
        <v>7</v>
      </c>
      <c r="C27" s="5" t="s">
        <v>8</v>
      </c>
      <c r="D27" s="5" t="s">
        <v>9</v>
      </c>
      <c r="E27" s="5" t="s">
        <v>10</v>
      </c>
      <c r="F27" s="5" t="s">
        <v>11</v>
      </c>
      <c r="G27" s="5" t="s">
        <v>12</v>
      </c>
      <c r="H27" s="5" t="s">
        <v>13</v>
      </c>
      <c r="I27" s="5" t="s">
        <v>14</v>
      </c>
      <c r="J27" s="5" t="s">
        <v>15</v>
      </c>
      <c r="K27" s="5" t="s">
        <v>16</v>
      </c>
      <c r="L27" s="5" t="s">
        <v>17</v>
      </c>
      <c r="M27" s="5" t="s">
        <v>18</v>
      </c>
      <c r="N27" s="5" t="s">
        <v>19</v>
      </c>
      <c r="O27" s="5" t="s">
        <v>20</v>
      </c>
    </row>
    <row r="28" ht="15.75" customHeight="1">
      <c r="A28" s="7" t="s">
        <v>280</v>
      </c>
      <c r="B28" s="23">
        <f>'Assumptions '!$B$103*'Payback Analysis '!C$13</f>
        <v>0</v>
      </c>
      <c r="C28" s="23">
        <f>'Assumptions '!$B$103*'Payback Analysis '!D$13</f>
        <v>741.7358491</v>
      </c>
      <c r="D28" s="23">
        <f>'Assumptions '!$B$103*'Payback Analysis '!E$13</f>
        <v>741.7358491</v>
      </c>
      <c r="E28" s="23">
        <f>'Assumptions '!$B$103*'Payback Analysis '!F$13</f>
        <v>3708.679245</v>
      </c>
      <c r="F28" s="23">
        <f>'Assumptions '!$B$103*'Payback Analysis '!G$13</f>
        <v>7417.358491</v>
      </c>
      <c r="G28" s="23">
        <f>'Assumptions '!$B$103*'Payback Analysis '!H$13</f>
        <v>14834.71698</v>
      </c>
      <c r="H28" s="23">
        <f>'Assumptions '!$B$103*'Payback Analysis '!I$13</f>
        <v>14834.71698</v>
      </c>
      <c r="I28" s="23">
        <f>'Assumptions '!$B$103*'Payback Analysis '!J$13</f>
        <v>14834.71698</v>
      </c>
      <c r="J28" s="23">
        <f>'Assumptions '!$B$103*'Payback Analysis '!K$13</f>
        <v>14834.71698</v>
      </c>
      <c r="K28" s="23">
        <f>'Assumptions '!$B$103*'Payback Analysis '!L$13</f>
        <v>14834.71698</v>
      </c>
      <c r="L28" s="23">
        <f>'Assumptions '!$B$103*'Payback Analysis '!M$13</f>
        <v>14834.71698</v>
      </c>
      <c r="M28" s="23">
        <f>'Assumptions '!$B$103*'Payback Analysis '!N$13</f>
        <v>14834.71698</v>
      </c>
      <c r="N28" s="23">
        <f>'Assumptions '!$B$103*'Payback Analysis '!O$13</f>
        <v>14834.71698</v>
      </c>
      <c r="O28" s="25"/>
    </row>
    <row r="29" ht="15.75" customHeight="1">
      <c r="A29" s="7" t="s">
        <v>67</v>
      </c>
      <c r="B29" s="29">
        <f>('Assumptions '!$B$9/12)</f>
        <v>30.41666667</v>
      </c>
      <c r="C29" s="29">
        <f>('Assumptions '!$B$9/12)</f>
        <v>30.41666667</v>
      </c>
      <c r="D29" s="29">
        <f>('Assumptions '!$B$9/12)</f>
        <v>30.41666667</v>
      </c>
      <c r="E29" s="29">
        <f>('Assumptions '!$B$9/12)</f>
        <v>30.41666667</v>
      </c>
      <c r="F29" s="29">
        <f>('Assumptions '!$B$9/12)</f>
        <v>30.41666667</v>
      </c>
      <c r="G29" s="29">
        <f>('Assumptions '!$B$9/12)</f>
        <v>30.41666667</v>
      </c>
      <c r="H29" s="29">
        <f>('Assumptions '!$B$9/12)</f>
        <v>30.41666667</v>
      </c>
      <c r="I29" s="29">
        <f>('Assumptions '!$B$9/12)</f>
        <v>30.41666667</v>
      </c>
      <c r="J29" s="29">
        <f>('Assumptions '!$B$9/12)</f>
        <v>30.41666667</v>
      </c>
      <c r="K29" s="29">
        <f>('Assumptions '!$B$9/12)</f>
        <v>30.41666667</v>
      </c>
      <c r="L29" s="29">
        <f>('Assumptions '!$B$9/12)</f>
        <v>30.41666667</v>
      </c>
      <c r="M29" s="29">
        <f>('Assumptions '!$B$9/12)</f>
        <v>30.41666667</v>
      </c>
      <c r="N29" s="29">
        <f>('Assumptions '!$B$9/12)</f>
        <v>30.41666667</v>
      </c>
      <c r="O29" s="34"/>
    </row>
    <row r="30" ht="15.75" customHeight="1">
      <c r="A30" s="7" t="s">
        <v>312</v>
      </c>
      <c r="B30" s="23">
        <f t="shared" ref="B30:N30" si="16">B28*B29</f>
        <v>0</v>
      </c>
      <c r="C30" s="23">
        <f t="shared" si="16"/>
        <v>22561.13208</v>
      </c>
      <c r="D30" s="23">
        <f t="shared" si="16"/>
        <v>22561.13208</v>
      </c>
      <c r="E30" s="23">
        <f t="shared" si="16"/>
        <v>112805.6604</v>
      </c>
      <c r="F30" s="23">
        <f t="shared" si="16"/>
        <v>225611.3208</v>
      </c>
      <c r="G30" s="23">
        <f t="shared" si="16"/>
        <v>451222.6415</v>
      </c>
      <c r="H30" s="23">
        <f t="shared" si="16"/>
        <v>451222.6415</v>
      </c>
      <c r="I30" s="23">
        <f t="shared" si="16"/>
        <v>451222.6415</v>
      </c>
      <c r="J30" s="23">
        <f t="shared" si="16"/>
        <v>451222.6415</v>
      </c>
      <c r="K30" s="23">
        <f t="shared" si="16"/>
        <v>451222.6415</v>
      </c>
      <c r="L30" s="23">
        <f t="shared" si="16"/>
        <v>451222.6415</v>
      </c>
      <c r="M30" s="23">
        <f t="shared" si="16"/>
        <v>451222.6415</v>
      </c>
      <c r="N30" s="23">
        <f t="shared" si="16"/>
        <v>451222.6415</v>
      </c>
      <c r="O30" s="25">
        <f>SUM(B30:N30)</f>
        <v>3993320.377</v>
      </c>
    </row>
    <row r="31" ht="15.75" customHeight="1">
      <c r="A31" s="7" t="s">
        <v>313</v>
      </c>
      <c r="B31" s="47">
        <f>'Assumptions '!$B$34</f>
        <v>11.04</v>
      </c>
      <c r="C31" s="47">
        <f>'Assumptions '!$B$34</f>
        <v>11.04</v>
      </c>
      <c r="D31" s="47">
        <f>'Assumptions '!$B$34</f>
        <v>11.04</v>
      </c>
      <c r="E31" s="47">
        <f>'Assumptions '!$B$34</f>
        <v>11.04</v>
      </c>
      <c r="F31" s="47">
        <f>'Assumptions '!$B$34</f>
        <v>11.04</v>
      </c>
      <c r="G31" s="47">
        <f>'Assumptions '!$B$34</f>
        <v>11.04</v>
      </c>
      <c r="H31" s="47">
        <f>'Assumptions '!$B$34</f>
        <v>11.04</v>
      </c>
      <c r="I31" s="47">
        <f>'Assumptions '!$B$34</f>
        <v>11.04</v>
      </c>
      <c r="J31" s="47">
        <f>'Assumptions '!$B$34</f>
        <v>11.04</v>
      </c>
      <c r="K31" s="47">
        <f>'Assumptions '!$B$34</f>
        <v>11.04</v>
      </c>
      <c r="L31" s="47">
        <f>'Assumptions '!$B$34</f>
        <v>11.04</v>
      </c>
      <c r="M31" s="47">
        <f>'Assumptions '!$B$34</f>
        <v>11.04</v>
      </c>
      <c r="N31" s="47">
        <f>'Assumptions '!$B$34</f>
        <v>11.04</v>
      </c>
      <c r="O31" s="48"/>
    </row>
    <row r="32" ht="15.75" customHeight="1">
      <c r="A32" s="7" t="s">
        <v>58</v>
      </c>
      <c r="B32" s="9">
        <f t="shared" ref="B32:N32" si="17">B30*B31</f>
        <v>0</v>
      </c>
      <c r="C32" s="9">
        <f t="shared" si="17"/>
        <v>249074.8981</v>
      </c>
      <c r="D32" s="9">
        <f t="shared" si="17"/>
        <v>249074.8981</v>
      </c>
      <c r="E32" s="9">
        <f t="shared" si="17"/>
        <v>1245374.491</v>
      </c>
      <c r="F32" s="9">
        <f t="shared" si="17"/>
        <v>2490748.981</v>
      </c>
      <c r="G32" s="9">
        <f t="shared" si="17"/>
        <v>4981497.962</v>
      </c>
      <c r="H32" s="9">
        <f t="shared" si="17"/>
        <v>4981497.962</v>
      </c>
      <c r="I32" s="9">
        <f t="shared" si="17"/>
        <v>4981497.962</v>
      </c>
      <c r="J32" s="9">
        <f t="shared" si="17"/>
        <v>4981497.962</v>
      </c>
      <c r="K32" s="9">
        <f t="shared" si="17"/>
        <v>4981497.962</v>
      </c>
      <c r="L32" s="9">
        <f t="shared" si="17"/>
        <v>4981497.962</v>
      </c>
      <c r="M32" s="9">
        <f t="shared" si="17"/>
        <v>4981497.962</v>
      </c>
      <c r="N32" s="9">
        <f t="shared" si="17"/>
        <v>4981497.962</v>
      </c>
      <c r="O32" s="15">
        <f>SUM(B32:N32)</f>
        <v>44086256.97</v>
      </c>
    </row>
    <row r="33" ht="15.75" customHeight="1"/>
    <row r="34" ht="15.75" customHeight="1">
      <c r="A34" s="2" t="s">
        <v>314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</row>
    <row r="35" ht="15.75" customHeight="1">
      <c r="A35" s="5" t="s">
        <v>6</v>
      </c>
      <c r="B35" s="5" t="s">
        <v>7</v>
      </c>
      <c r="C35" s="5" t="s">
        <v>8</v>
      </c>
      <c r="D35" s="5" t="s">
        <v>9</v>
      </c>
      <c r="E35" s="5" t="s">
        <v>10</v>
      </c>
      <c r="F35" s="5" t="s">
        <v>11</v>
      </c>
      <c r="G35" s="5" t="s">
        <v>12</v>
      </c>
      <c r="H35" s="5" t="s">
        <v>13</v>
      </c>
      <c r="I35" s="5" t="s">
        <v>14</v>
      </c>
      <c r="J35" s="5" t="s">
        <v>15</v>
      </c>
      <c r="K35" s="5" t="s">
        <v>16</v>
      </c>
      <c r="L35" s="5" t="s">
        <v>17</v>
      </c>
      <c r="M35" s="5" t="s">
        <v>18</v>
      </c>
      <c r="N35" s="5" t="s">
        <v>19</v>
      </c>
      <c r="O35" s="5" t="s">
        <v>20</v>
      </c>
    </row>
    <row r="36" ht="15.75" customHeight="1">
      <c r="A36" s="7" t="s">
        <v>315</v>
      </c>
      <c r="B36" s="9">
        <f>IF(0&gt;=1,'Assumptions '!$B$61*'Assumptions '!$B$60,0)</f>
        <v>0</v>
      </c>
      <c r="C36" s="9">
        <f>IF(1&gt;=1,'Assumptions '!$B$61*'Assumptions '!$B$60,0)</f>
        <v>46800</v>
      </c>
      <c r="D36" s="9">
        <f>IF(2&gt;=1,'Assumptions '!$B$61*'Assumptions '!$B$60,0)</f>
        <v>46800</v>
      </c>
      <c r="E36" s="9">
        <f>IF(3&gt;=1,'Assumptions '!$B$61*'Assumptions '!$B$60,0)</f>
        <v>46800</v>
      </c>
      <c r="F36" s="9">
        <f>IF(4&gt;=1,'Assumptions '!$B$61*'Assumptions '!$B$60,0)</f>
        <v>46800</v>
      </c>
      <c r="G36" s="9">
        <f>IF(5&gt;=1,'Assumptions '!$B$61*'Assumptions '!$B$60,0)</f>
        <v>46800</v>
      </c>
      <c r="H36" s="9">
        <f>IF(6&gt;=1,'Assumptions '!$B$61*'Assumptions '!$B$60,0)</f>
        <v>46800</v>
      </c>
      <c r="I36" s="9">
        <f>IF(7&gt;=1,'Assumptions '!$B$61*'Assumptions '!$B$60,0)</f>
        <v>46800</v>
      </c>
      <c r="J36" s="9">
        <f>IF(8&gt;=1,'Assumptions '!$B$61*'Assumptions '!$B$60,0)</f>
        <v>46800</v>
      </c>
      <c r="K36" s="9">
        <f>IF(9&gt;=1,'Assumptions '!$B$61*'Assumptions '!$B$60,0)</f>
        <v>46800</v>
      </c>
      <c r="L36" s="9">
        <f>IF(10&gt;=1,'Assumptions '!$B$61*'Assumptions '!$B$60,0)</f>
        <v>46800</v>
      </c>
      <c r="M36" s="9">
        <f>IF(11&gt;=1,'Assumptions '!$B$61*'Assumptions '!$B$60,0)</f>
        <v>46800</v>
      </c>
      <c r="N36" s="9">
        <f>IF(12&gt;=1,'Assumptions '!$B$61*'Assumptions '!$B$60,0)</f>
        <v>46800</v>
      </c>
      <c r="O36" s="15">
        <f t="shared" ref="O36:O39" si="18">SUM(B36:N36)</f>
        <v>561600</v>
      </c>
    </row>
    <row r="37" ht="15.75" customHeight="1">
      <c r="A37" s="7" t="s">
        <v>318</v>
      </c>
      <c r="B37" s="9">
        <f>IF(0&gt;=1,'Assumptions '!$B$63*'Assumptions '!$B$62,0)</f>
        <v>0</v>
      </c>
      <c r="C37" s="9">
        <f>IF(1&gt;=1,'Assumptions '!$B$63*'Assumptions '!$B$62,0)</f>
        <v>30800</v>
      </c>
      <c r="D37" s="9">
        <f>IF(2&gt;=1,'Assumptions '!$B$63*'Assumptions '!$B$62,0)</f>
        <v>30800</v>
      </c>
      <c r="E37" s="9">
        <f>IF(3&gt;=1,'Assumptions '!$B$63*'Assumptions '!$B$62,0)</f>
        <v>30800</v>
      </c>
      <c r="F37" s="9">
        <f>IF(4&gt;=1,'Assumptions '!$B$63*'Assumptions '!$B$62,0)</f>
        <v>30800</v>
      </c>
      <c r="G37" s="9">
        <f>IF(5&gt;=1,'Assumptions '!$B$63*'Assumptions '!$B$62,0)</f>
        <v>30800</v>
      </c>
      <c r="H37" s="9">
        <f>IF(6&gt;=1,'Assumptions '!$B$63*'Assumptions '!$B$62,0)</f>
        <v>30800</v>
      </c>
      <c r="I37" s="9">
        <f>IF(7&gt;=1,'Assumptions '!$B$63*'Assumptions '!$B$62,0)</f>
        <v>30800</v>
      </c>
      <c r="J37" s="9">
        <f>IF(8&gt;=1,'Assumptions '!$B$63*'Assumptions '!$B$62,0)</f>
        <v>30800</v>
      </c>
      <c r="K37" s="9">
        <f>IF(9&gt;=1,'Assumptions '!$B$63*'Assumptions '!$B$62,0)</f>
        <v>30800</v>
      </c>
      <c r="L37" s="9">
        <f>IF(10&gt;=1,'Assumptions '!$B$63*'Assumptions '!$B$62,0)</f>
        <v>30800</v>
      </c>
      <c r="M37" s="9">
        <f>IF(11&gt;=1,'Assumptions '!$B$63*'Assumptions '!$B$62,0)</f>
        <v>30800</v>
      </c>
      <c r="N37" s="9">
        <f>IF(12&gt;=1,'Assumptions '!$B$63*'Assumptions '!$B$62,0)</f>
        <v>30800</v>
      </c>
      <c r="O37" s="15">
        <f t="shared" si="18"/>
        <v>369600</v>
      </c>
    </row>
    <row r="38" ht="15.75" customHeight="1">
      <c r="A38" s="7" t="s">
        <v>320</v>
      </c>
      <c r="B38" s="9">
        <f>'Assumptions '!$B$106*'Assumptions '!$B$67*'Payback Analysis '!C$13</f>
        <v>0</v>
      </c>
      <c r="C38" s="9">
        <f>'Assumptions '!$B$106*'Assumptions '!$B$67*'Payback Analysis '!D$13</f>
        <v>328.5914583</v>
      </c>
      <c r="D38" s="9">
        <f>'Assumptions '!$B$106*'Assumptions '!$B$67*'Payback Analysis '!E$13</f>
        <v>328.5914583</v>
      </c>
      <c r="E38" s="9">
        <f>'Assumptions '!$B$106*'Assumptions '!$B$67*'Payback Analysis '!F$13</f>
        <v>1642.957291</v>
      </c>
      <c r="F38" s="9">
        <f>'Assumptions '!$B$106*'Assumptions '!$B$67*'Payback Analysis '!G$13</f>
        <v>3285.914583</v>
      </c>
      <c r="G38" s="9">
        <f>'Assumptions '!$B$106*'Assumptions '!$B$67*'Payback Analysis '!H$13</f>
        <v>6571.829165</v>
      </c>
      <c r="H38" s="9">
        <f>'Assumptions '!$B$106*'Assumptions '!$B$67*'Payback Analysis '!I$13</f>
        <v>6571.829165</v>
      </c>
      <c r="I38" s="9">
        <f>'Assumptions '!$B$106*'Assumptions '!$B$67*'Payback Analysis '!J$13</f>
        <v>6571.829165</v>
      </c>
      <c r="J38" s="9">
        <f>'Assumptions '!$B$106*'Assumptions '!$B$67*'Payback Analysis '!K$13</f>
        <v>6571.829165</v>
      </c>
      <c r="K38" s="9">
        <f>'Assumptions '!$B$106*'Assumptions '!$B$67*'Payback Analysis '!L$13</f>
        <v>6571.829165</v>
      </c>
      <c r="L38" s="9">
        <f>'Assumptions '!$B$106*'Assumptions '!$B$67*'Payback Analysis '!M$13</f>
        <v>6571.829165</v>
      </c>
      <c r="M38" s="9">
        <f>'Assumptions '!$B$106*'Assumptions '!$B$67*'Payback Analysis '!N$13</f>
        <v>6571.829165</v>
      </c>
      <c r="N38" s="9">
        <f>'Assumptions '!$B$106*'Assumptions '!$B$67*'Payback Analysis '!O$13</f>
        <v>6571.829165</v>
      </c>
      <c r="O38" s="15">
        <f t="shared" si="18"/>
        <v>58160.68811</v>
      </c>
    </row>
    <row r="39" ht="15.75" customHeight="1">
      <c r="A39" s="7" t="s">
        <v>322</v>
      </c>
      <c r="B39" s="9">
        <f>IF(0&gt;=1,'Assumptions '!$B$68*'Assumptions '!$B$60,0)</f>
        <v>0</v>
      </c>
      <c r="C39" s="9">
        <f>IF(1&gt;=1,'Assumptions '!$B$68*'Assumptions '!$B$60,0)</f>
        <v>23400</v>
      </c>
      <c r="D39" s="9">
        <f>IF(2&gt;=1,'Assumptions '!$B$68*'Assumptions '!$B$60,0)</f>
        <v>23400</v>
      </c>
      <c r="E39" s="9">
        <f>IF(3&gt;=1,'Assumptions '!$B$68*'Assumptions '!$B$60,0)</f>
        <v>23400</v>
      </c>
      <c r="F39" s="9">
        <f>IF(4&gt;=1,'Assumptions '!$B$68*'Assumptions '!$B$60,0)</f>
        <v>23400</v>
      </c>
      <c r="G39" s="9">
        <f>IF(5&gt;=1,'Assumptions '!$B$68*'Assumptions '!$B$60,0)</f>
        <v>23400</v>
      </c>
      <c r="H39" s="9">
        <f>IF(6&gt;=1,'Assumptions '!$B$68*'Assumptions '!$B$60,0)</f>
        <v>23400</v>
      </c>
      <c r="I39" s="9">
        <f>IF(7&gt;=1,'Assumptions '!$B$68*'Assumptions '!$B$60,0)</f>
        <v>23400</v>
      </c>
      <c r="J39" s="9">
        <f>IF(8&gt;=1,'Assumptions '!$B$68*'Assumptions '!$B$60,0)</f>
        <v>23400</v>
      </c>
      <c r="K39" s="9">
        <f>IF(9&gt;=1,'Assumptions '!$B$68*'Assumptions '!$B$60,0)</f>
        <v>23400</v>
      </c>
      <c r="L39" s="9">
        <f>IF(10&gt;=1,'Assumptions '!$B$68*'Assumptions '!$B$60,0)</f>
        <v>23400</v>
      </c>
      <c r="M39" s="9">
        <f>IF(11&gt;=1,'Assumptions '!$B$68*'Assumptions '!$B$60,0)</f>
        <v>23400</v>
      </c>
      <c r="N39" s="9">
        <f>IF(12&gt;=1,'Assumptions '!$B$68*'Assumptions '!$B$60,0)</f>
        <v>23400</v>
      </c>
      <c r="O39" s="15">
        <f t="shared" si="18"/>
        <v>280800</v>
      </c>
    </row>
    <row r="40" ht="15.75" customHeight="1"/>
    <row r="41" ht="15.75" customHeight="1">
      <c r="A41" s="2" t="s">
        <v>324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ht="15.75" customHeight="1">
      <c r="A42" s="5" t="s">
        <v>6</v>
      </c>
      <c r="B42" s="5" t="s">
        <v>7</v>
      </c>
      <c r="C42" s="5" t="s">
        <v>8</v>
      </c>
      <c r="D42" s="5" t="s">
        <v>9</v>
      </c>
      <c r="E42" s="5" t="s">
        <v>10</v>
      </c>
      <c r="F42" s="5" t="s">
        <v>11</v>
      </c>
      <c r="G42" s="5" t="s">
        <v>12</v>
      </c>
      <c r="H42" s="5" t="s">
        <v>13</v>
      </c>
      <c r="I42" s="5" t="s">
        <v>14</v>
      </c>
      <c r="J42" s="5" t="s">
        <v>15</v>
      </c>
      <c r="K42" s="5" t="s">
        <v>16</v>
      </c>
      <c r="L42" s="5" t="s">
        <v>17</v>
      </c>
      <c r="M42" s="5" t="s">
        <v>18</v>
      </c>
      <c r="N42" s="5" t="s">
        <v>19</v>
      </c>
      <c r="O42" s="5" t="s">
        <v>20</v>
      </c>
    </row>
    <row r="43" ht="15.75" customHeight="1">
      <c r="A43" s="7" t="s">
        <v>325</v>
      </c>
      <c r="B43" s="9">
        <f>'Assumptions '!$B$55*'Assumptions '!$B$56</f>
        <v>23600</v>
      </c>
      <c r="C43" s="9">
        <v>0.0</v>
      </c>
      <c r="D43" s="9">
        <v>0.0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15">
        <f t="shared" ref="O43:O47" si="19">SUM(B43:N43)</f>
        <v>23600</v>
      </c>
    </row>
    <row r="44" ht="15.75" customHeight="1">
      <c r="A44" s="7" t="s">
        <v>330</v>
      </c>
      <c r="B44" s="9">
        <f>'Assumptions '!$B$74*'Assumptions '!$B$75</f>
        <v>50000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9">
        <v>0.0</v>
      </c>
      <c r="N44" s="9">
        <v>0.0</v>
      </c>
      <c r="O44" s="15">
        <f t="shared" si="19"/>
        <v>50000</v>
      </c>
    </row>
    <row r="45" ht="15.75" customHeight="1">
      <c r="A45" s="7" t="s">
        <v>331</v>
      </c>
      <c r="B45" s="9">
        <f>'Assumptions '!$B$76</f>
        <v>500000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15">
        <f t="shared" si="19"/>
        <v>500000</v>
      </c>
    </row>
    <row r="46" ht="15.75" customHeight="1">
      <c r="A46" s="7" t="s">
        <v>332</v>
      </c>
      <c r="B46" s="9">
        <f>'Assumptions '!$B$77</f>
        <v>50000</v>
      </c>
      <c r="C46" s="9">
        <v>0.0</v>
      </c>
      <c r="D46" s="9">
        <v>0.0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15">
        <f t="shared" si="19"/>
        <v>50000</v>
      </c>
    </row>
    <row r="47" ht="15.75" customHeight="1">
      <c r="A47" s="7" t="s">
        <v>333</v>
      </c>
      <c r="B47" s="9">
        <v>0.0</v>
      </c>
      <c r="C47" s="9">
        <v>0.0</v>
      </c>
      <c r="D47" s="9">
        <v>0.0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f>'Assumptions '!$B$78</f>
        <v>200000</v>
      </c>
      <c r="O47" s="15">
        <f t="shared" si="19"/>
        <v>200000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O1"/>
    <mergeCell ref="A17:O17"/>
    <mergeCell ref="A26:O26"/>
    <mergeCell ref="A34:O34"/>
    <mergeCell ref="A41:O41"/>
  </mergeCell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4.38"/>
    <col customWidth="1" min="2" max="2" width="40.25"/>
    <col customWidth="1" min="3" max="15" width="12.25"/>
    <col customWidth="1" min="16" max="16" width="14.88"/>
  </cols>
  <sheetData>
    <row r="1" ht="27.75" customHeight="1">
      <c r="A1" s="50" t="s">
        <v>240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2"/>
    </row>
    <row r="2" ht="25.5" customHeight="1">
      <c r="A2" s="53" t="s">
        <v>241</v>
      </c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15.0" customHeight="1">
      <c r="A4" s="6"/>
      <c r="B4" s="54" t="s">
        <v>242</v>
      </c>
      <c r="C4" s="55" t="s">
        <v>243</v>
      </c>
      <c r="D4" s="56"/>
      <c r="E4" s="55" t="s">
        <v>244</v>
      </c>
      <c r="F4" s="56"/>
      <c r="G4" s="55" t="s">
        <v>245</v>
      </c>
      <c r="H4" s="56"/>
      <c r="I4" s="55" t="s">
        <v>246</v>
      </c>
      <c r="J4" s="56"/>
      <c r="K4" s="55" t="s">
        <v>247</v>
      </c>
      <c r="L4" s="56"/>
      <c r="M4" s="55" t="s">
        <v>248</v>
      </c>
      <c r="N4" s="56"/>
      <c r="O4" s="6"/>
      <c r="P4" s="6"/>
    </row>
    <row r="5" ht="14.25" customHeight="1">
      <c r="A5" s="6"/>
      <c r="B5" s="57"/>
      <c r="C5" s="58">
        <f>P51</f>
        <v>673600</v>
      </c>
      <c r="D5" s="59"/>
      <c r="E5" s="60" t="str">
        <f>IFERROR("M"&amp;(MATCH("Yes",C59:O59,0)-1),"After M12")</f>
        <v>M1</v>
      </c>
      <c r="F5" s="59"/>
      <c r="G5" s="58">
        <f>-MIN(0,MIN(C58:O58))</f>
        <v>740960</v>
      </c>
      <c r="H5" s="59"/>
      <c r="I5" s="58">
        <f>P22</f>
        <v>2824318842</v>
      </c>
      <c r="J5" s="59"/>
      <c r="K5" s="58">
        <f>P56</f>
        <v>431363805.1</v>
      </c>
      <c r="L5" s="59"/>
      <c r="M5" s="61">
        <f>P57</f>
        <v>2392955037</v>
      </c>
      <c r="N5" s="59"/>
      <c r="O5" s="6"/>
      <c r="P5" s="6"/>
    </row>
    <row r="6" ht="14.25" customHeight="1">
      <c r="A6" s="6"/>
      <c r="B6" s="57"/>
      <c r="C6" s="62"/>
      <c r="D6" s="63"/>
      <c r="E6" s="62"/>
      <c r="F6" s="63"/>
      <c r="G6" s="62"/>
      <c r="H6" s="63"/>
      <c r="I6" s="62"/>
      <c r="J6" s="63"/>
      <c r="K6" s="62"/>
      <c r="L6" s="63"/>
      <c r="M6" s="62"/>
      <c r="N6" s="63"/>
      <c r="O6" s="6"/>
      <c r="P6" s="6"/>
    </row>
    <row r="7" ht="21.75" customHeight="1">
      <c r="A7" s="6"/>
      <c r="B7" s="57"/>
      <c r="C7" s="55" t="s">
        <v>251</v>
      </c>
      <c r="D7" s="56"/>
      <c r="E7" s="55" t="s">
        <v>252</v>
      </c>
      <c r="F7" s="56"/>
      <c r="G7" s="55" t="s">
        <v>255</v>
      </c>
      <c r="H7" s="56"/>
      <c r="I7" s="55" t="s">
        <v>257</v>
      </c>
      <c r="J7" s="56"/>
      <c r="K7" s="55" t="s">
        <v>259</v>
      </c>
      <c r="L7" s="56"/>
      <c r="M7" s="55" t="s">
        <v>261</v>
      </c>
      <c r="N7" s="56"/>
      <c r="O7" s="6"/>
      <c r="P7" s="6"/>
    </row>
    <row r="8" ht="14.25" customHeight="1">
      <c r="A8" s="6"/>
      <c r="B8" s="57"/>
      <c r="C8" s="69">
        <f>P22/P56</f>
        <v>6.547417305</v>
      </c>
      <c r="D8" s="59"/>
      <c r="E8" s="70">
        <f>P57/P56</f>
        <v>5.547417305</v>
      </c>
      <c r="F8" s="59"/>
      <c r="G8" s="73">
        <f>P18</f>
        <v>23535990.35</v>
      </c>
      <c r="H8" s="59"/>
      <c r="I8" s="74" t="str">
        <f>TEXT('Assumptions '!$B$6,"0%")&amp;" → "&amp;TEXT('Assumptions '!$B$107,"0.0%")</f>
        <v>20% → 17.3%</v>
      </c>
      <c r="J8" s="59"/>
      <c r="K8" s="58">
        <f>O57</f>
        <v>286515919.4</v>
      </c>
      <c r="L8" s="59"/>
      <c r="M8" s="74" t="str">
        <f>TEXT('Assumptions '!$B$32*P56/P22,"0.0%")&amp;" (assumed "&amp;TEXT('Assumptions '!$B$32,"0%")&amp;")"</f>
        <v>3.1% (assumed 20%)</v>
      </c>
      <c r="N8" s="59"/>
      <c r="O8" s="6"/>
      <c r="P8" s="6"/>
    </row>
    <row r="9" ht="14.25" customHeight="1">
      <c r="A9" s="6"/>
      <c r="B9" s="75"/>
      <c r="C9" s="62"/>
      <c r="D9" s="63"/>
      <c r="E9" s="62"/>
      <c r="F9" s="63"/>
      <c r="G9" s="62"/>
      <c r="H9" s="63"/>
      <c r="I9" s="62"/>
      <c r="J9" s="63"/>
      <c r="K9" s="62"/>
      <c r="L9" s="63"/>
      <c r="M9" s="62"/>
      <c r="N9" s="63"/>
      <c r="O9" s="6"/>
      <c r="P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5.0" customHeight="1">
      <c r="A11" s="76" t="s">
        <v>274</v>
      </c>
      <c r="B11" s="77" t="s">
        <v>275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56"/>
    </row>
    <row r="12" ht="14.25" customHeight="1">
      <c r="A12" s="57"/>
      <c r="B12" s="79" t="s">
        <v>6</v>
      </c>
      <c r="C12" s="79" t="s">
        <v>276</v>
      </c>
      <c r="D12" s="79" t="s">
        <v>8</v>
      </c>
      <c r="E12" s="79" t="s">
        <v>9</v>
      </c>
      <c r="F12" s="79" t="s">
        <v>10</v>
      </c>
      <c r="G12" s="79" t="s">
        <v>11</v>
      </c>
      <c r="H12" s="79" t="s">
        <v>12</v>
      </c>
      <c r="I12" s="79" t="s">
        <v>13</v>
      </c>
      <c r="J12" s="79" t="s">
        <v>14</v>
      </c>
      <c r="K12" s="79" t="s">
        <v>15</v>
      </c>
      <c r="L12" s="79" t="s">
        <v>16</v>
      </c>
      <c r="M12" s="79" t="s">
        <v>17</v>
      </c>
      <c r="N12" s="79" t="s">
        <v>18</v>
      </c>
      <c r="O12" s="79" t="s">
        <v>19</v>
      </c>
      <c r="P12" s="79" t="s">
        <v>277</v>
      </c>
    </row>
    <row r="13" ht="14.25" customHeight="1">
      <c r="A13" s="57"/>
      <c r="B13" s="80" t="s">
        <v>278</v>
      </c>
      <c r="C13" s="81">
        <f>0</f>
        <v>0</v>
      </c>
      <c r="D13" s="81">
        <f>IF(1&lt;='Assumptions '!$B$82,'Assumptions '!$B$83,IF(1='Assumptions '!$B$82+1,'Assumptions '!$B$84,IF(1='Assumptions '!$B$82+2,'Assumptions '!$B$85,1)))</f>
        <v>0.05</v>
      </c>
      <c r="E13" s="81">
        <f>IF(2&lt;='Assumptions '!$B$82,'Assumptions '!$B$83,IF(2='Assumptions '!$B$82+1,'Assumptions '!$B$84,IF(2='Assumptions '!$B$82+2,'Assumptions '!$B$85,1)))</f>
        <v>0.05</v>
      </c>
      <c r="F13" s="81">
        <f>IF(3&lt;='Assumptions '!$B$82,'Assumptions '!$B$83,IF(3='Assumptions '!$B$82+1,'Assumptions '!$B$84,IF(3='Assumptions '!$B$82+2,'Assumptions '!$B$85,1)))</f>
        <v>0.25</v>
      </c>
      <c r="G13" s="81">
        <f>IF(4&lt;='Assumptions '!$B$82,'Assumptions '!$B$83,IF(4='Assumptions '!$B$82+1,'Assumptions '!$B$84,IF(4='Assumptions '!$B$82+2,'Assumptions '!$B$85,1)))</f>
        <v>0.5</v>
      </c>
      <c r="H13" s="81">
        <f>IF(5&lt;='Assumptions '!$B$82,'Assumptions '!$B$83,IF(5='Assumptions '!$B$82+1,'Assumptions '!$B$84,IF(5='Assumptions '!$B$82+2,'Assumptions '!$B$85,1)))</f>
        <v>1</v>
      </c>
      <c r="I13" s="81">
        <f>IF(6&lt;='Assumptions '!$B$82,'Assumptions '!$B$83,IF(6='Assumptions '!$B$82+1,'Assumptions '!$B$84,IF(6='Assumptions '!$B$82+2,'Assumptions '!$B$85,1)))</f>
        <v>1</v>
      </c>
      <c r="J13" s="81">
        <f>IF(7&lt;='Assumptions '!$B$82,'Assumptions '!$B$83,IF(7='Assumptions '!$B$82+1,'Assumptions '!$B$84,IF(7='Assumptions '!$B$82+2,'Assumptions '!$B$85,1)))</f>
        <v>1</v>
      </c>
      <c r="K13" s="81">
        <f>IF(8&lt;='Assumptions '!$B$82,'Assumptions '!$B$83,IF(8='Assumptions '!$B$82+1,'Assumptions '!$B$84,IF(8='Assumptions '!$B$82+2,'Assumptions '!$B$85,1)))</f>
        <v>1</v>
      </c>
      <c r="L13" s="81">
        <f>IF(9&lt;='Assumptions '!$B$82,'Assumptions '!$B$83,IF(9='Assumptions '!$B$82+1,'Assumptions '!$B$84,IF(9='Assumptions '!$B$82+2,'Assumptions '!$B$85,1)))</f>
        <v>1</v>
      </c>
      <c r="M13" s="81">
        <f>IF(10&lt;='Assumptions '!$B$82,'Assumptions '!$B$83,IF(10='Assumptions '!$B$82+1,'Assumptions '!$B$84,IF(10='Assumptions '!$B$82+2,'Assumptions '!$B$85,1)))</f>
        <v>1</v>
      </c>
      <c r="N13" s="81">
        <f>IF(11&lt;='Assumptions '!$B$82,'Assumptions '!$B$83,IF(11='Assumptions '!$B$82+1,'Assumptions '!$B$84,IF(11='Assumptions '!$B$82+2,'Assumptions '!$B$85,1)))</f>
        <v>1</v>
      </c>
      <c r="O13" s="81">
        <f>IF(12&lt;='Assumptions '!$B$82,'Assumptions '!$B$83,IF(12='Assumptions '!$B$82+1,'Assumptions '!$B$84,IF(12='Assumptions '!$B$82+2,'Assumptions '!$B$85,1)))</f>
        <v>1</v>
      </c>
      <c r="P13" s="87">
        <f t="shared" ref="P13:P14" si="1">AVERAGE(D13:O13)</f>
        <v>0.7375</v>
      </c>
    </row>
    <row r="14" ht="14.25" customHeight="1">
      <c r="A14" s="75"/>
      <c r="B14" s="88" t="s">
        <v>311</v>
      </c>
      <c r="C14" s="89">
        <f>C13*(1-MIN('Assumptions '!$B$39,('Assumptions '!$B$9/12))/('Assumptions '!$B$9/12))+0*MIN('Assumptions '!$B$39,('Assumptions '!$B$9/12))/('Assumptions '!$B$9/12)</f>
        <v>0</v>
      </c>
      <c r="D14" s="89">
        <f>D13*(1-MIN('Assumptions '!$B$39,('Assumptions '!$B$9/12))/('Assumptions '!$B$9/12))+C13*MIN('Assumptions '!$B$39,('Assumptions '!$B$9/12))/('Assumptions '!$B$9/12)</f>
        <v>0.02863013699</v>
      </c>
      <c r="E14" s="89">
        <f>E13*(1-MIN('Assumptions '!$B$39,('Assumptions '!$B$9/12))/('Assumptions '!$B$9/12))+D13*MIN('Assumptions '!$B$39,('Assumptions '!$B$9/12))/('Assumptions '!$B$9/12)</f>
        <v>0.05</v>
      </c>
      <c r="F14" s="89">
        <f>F13*(1-MIN('Assumptions '!$B$39,('Assumptions '!$B$9/12))/('Assumptions '!$B$9/12))+E13*MIN('Assumptions '!$B$39,('Assumptions '!$B$9/12))/('Assumptions '!$B$9/12)</f>
        <v>0.1645205479</v>
      </c>
      <c r="G14" s="89">
        <f>G13*(1-MIN('Assumptions '!$B$39,('Assumptions '!$B$9/12))/('Assumptions '!$B$9/12))+F13*MIN('Assumptions '!$B$39,('Assumptions '!$B$9/12))/('Assumptions '!$B$9/12)</f>
        <v>0.3931506849</v>
      </c>
      <c r="H14" s="89">
        <f>H13*(1-MIN('Assumptions '!$B$39,('Assumptions '!$B$9/12))/('Assumptions '!$B$9/12))+G13*MIN('Assumptions '!$B$39,('Assumptions '!$B$9/12))/('Assumptions '!$B$9/12)</f>
        <v>0.7863013699</v>
      </c>
      <c r="I14" s="89">
        <f>I13*(1-MIN('Assumptions '!$B$39,('Assumptions '!$B$9/12))/('Assumptions '!$B$9/12))+H13*MIN('Assumptions '!$B$39,('Assumptions '!$B$9/12))/('Assumptions '!$B$9/12)</f>
        <v>1</v>
      </c>
      <c r="J14" s="89">
        <f>J13*(1-MIN('Assumptions '!$B$39,('Assumptions '!$B$9/12))/('Assumptions '!$B$9/12))+I13*MIN('Assumptions '!$B$39,('Assumptions '!$B$9/12))/('Assumptions '!$B$9/12)</f>
        <v>1</v>
      </c>
      <c r="K14" s="89">
        <f>K13*(1-MIN('Assumptions '!$B$39,('Assumptions '!$B$9/12))/('Assumptions '!$B$9/12))+J13*MIN('Assumptions '!$B$39,('Assumptions '!$B$9/12))/('Assumptions '!$B$9/12)</f>
        <v>1</v>
      </c>
      <c r="L14" s="89">
        <f>L13*(1-MIN('Assumptions '!$B$39,('Assumptions '!$B$9/12))/('Assumptions '!$B$9/12))+K13*MIN('Assumptions '!$B$39,('Assumptions '!$B$9/12))/('Assumptions '!$B$9/12)</f>
        <v>1</v>
      </c>
      <c r="M14" s="89">
        <f>M13*(1-MIN('Assumptions '!$B$39,('Assumptions '!$B$9/12))/('Assumptions '!$B$9/12))+L13*MIN('Assumptions '!$B$39,('Assumptions '!$B$9/12))/('Assumptions '!$B$9/12)</f>
        <v>1</v>
      </c>
      <c r="N14" s="89">
        <f>N13*(1-MIN('Assumptions '!$B$39,('Assumptions '!$B$9/12))/('Assumptions '!$B$9/12))+M13*MIN('Assumptions '!$B$39,('Assumptions '!$B$9/12))/('Assumptions '!$B$9/12)</f>
        <v>1</v>
      </c>
      <c r="O14" s="89">
        <f>O13*(1-MIN('Assumptions '!$B$39,('Assumptions '!$B$9/12))/('Assumptions '!$B$9/12))+N13*MIN('Assumptions '!$B$39,('Assumptions '!$B$9/12))/('Assumptions '!$B$9/12)</f>
        <v>1</v>
      </c>
      <c r="P14" s="90">
        <f t="shared" si="1"/>
        <v>0.7018835616</v>
      </c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5.0" customHeight="1">
      <c r="A16" s="76" t="s">
        <v>62</v>
      </c>
      <c r="B16" s="77" t="s">
        <v>316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56"/>
    </row>
    <row r="17" ht="14.25" customHeight="1">
      <c r="A17" s="57"/>
      <c r="B17" s="79" t="s">
        <v>4</v>
      </c>
      <c r="C17" s="79" t="s">
        <v>276</v>
      </c>
      <c r="D17" s="79" t="s">
        <v>8</v>
      </c>
      <c r="E17" s="79" t="s">
        <v>9</v>
      </c>
      <c r="F17" s="79" t="s">
        <v>10</v>
      </c>
      <c r="G17" s="79" t="s">
        <v>11</v>
      </c>
      <c r="H17" s="79" t="s">
        <v>12</v>
      </c>
      <c r="I17" s="79" t="s">
        <v>13</v>
      </c>
      <c r="J17" s="79" t="s">
        <v>14</v>
      </c>
      <c r="K17" s="79" t="s">
        <v>15</v>
      </c>
      <c r="L17" s="79" t="s">
        <v>16</v>
      </c>
      <c r="M17" s="79" t="s">
        <v>17</v>
      </c>
      <c r="N17" s="79" t="s">
        <v>18</v>
      </c>
      <c r="O17" s="79" t="s">
        <v>19</v>
      </c>
      <c r="P17" s="79" t="s">
        <v>277</v>
      </c>
    </row>
    <row r="18" ht="14.25" customHeight="1">
      <c r="A18" s="57"/>
      <c r="B18" s="88" t="s">
        <v>317</v>
      </c>
      <c r="C18" s="91">
        <f>'Assumptions '!$B$99*('Assumptions '!$B$9/12)*C$14</f>
        <v>0</v>
      </c>
      <c r="D18" s="91">
        <f>'Assumptions '!$B$99*('Assumptions '!$B$9/12)*D$14</f>
        <v>80003.61037</v>
      </c>
      <c r="E18" s="91">
        <f>'Assumptions '!$B$99*('Assumptions '!$B$9/12)*E$14</f>
        <v>139719.2238</v>
      </c>
      <c r="F18" s="91">
        <f>'Assumptions '!$B$99*('Assumptions '!$B$9/12)*F$14</f>
        <v>459733.6653</v>
      </c>
      <c r="G18" s="91">
        <f>'Assumptions '!$B$99*('Assumptions '!$B$9/12)*G$14</f>
        <v>1098614.171</v>
      </c>
      <c r="H18" s="91">
        <f>'Assumptions '!$B$99*('Assumptions '!$B$9/12)*H$14</f>
        <v>2197228.342</v>
      </c>
      <c r="I18" s="91">
        <f>'Assumptions '!$B$99*('Assumptions '!$B$9/12)*I$14</f>
        <v>2794384.477</v>
      </c>
      <c r="J18" s="91">
        <f>'Assumptions '!$B$99*('Assumptions '!$B$9/12)*J$14</f>
        <v>2794384.477</v>
      </c>
      <c r="K18" s="91">
        <f>'Assumptions '!$B$99*('Assumptions '!$B$9/12)*K$14</f>
        <v>2794384.477</v>
      </c>
      <c r="L18" s="91">
        <f>'Assumptions '!$B$99*('Assumptions '!$B$9/12)*L$14</f>
        <v>2794384.477</v>
      </c>
      <c r="M18" s="91">
        <f>'Assumptions '!$B$99*('Assumptions '!$B$9/12)*M$14</f>
        <v>2794384.477</v>
      </c>
      <c r="N18" s="91">
        <f>'Assumptions '!$B$99*('Assumptions '!$B$9/12)*N$14</f>
        <v>2794384.477</v>
      </c>
      <c r="O18" s="91">
        <f>'Assumptions '!$B$99*('Assumptions '!$B$9/12)*O$14</f>
        <v>2794384.477</v>
      </c>
      <c r="P18" s="92">
        <f t="shared" ref="P18:P22" si="2">SUM(C18:O18)</f>
        <v>23535990.35</v>
      </c>
    </row>
    <row r="19" ht="14.25" customHeight="1">
      <c r="A19" s="57"/>
      <c r="B19" s="80" t="s">
        <v>319</v>
      </c>
      <c r="C19" s="93">
        <f>'Assumptions '!$B$96*'Assumptions '!$B$100*('Assumptions '!$B$9/12)*C$14</f>
        <v>0</v>
      </c>
      <c r="D19" s="93">
        <f>'Assumptions '!$B$96*'Assumptions '!$B$100*('Assumptions '!$B$9/12)*D$14</f>
        <v>8165508.039</v>
      </c>
      <c r="E19" s="93">
        <f>'Assumptions '!$B$96*'Assumptions '!$B$100*('Assumptions '!$B$9/12)*E$14</f>
        <v>14260337.01</v>
      </c>
      <c r="F19" s="93">
        <f>'Assumptions '!$B$96*'Assumptions '!$B$100*('Assumptions '!$B$9/12)*F$14</f>
        <v>46922369.16</v>
      </c>
      <c r="G19" s="93">
        <f>'Assumptions '!$B$96*'Assumptions '!$B$100*('Assumptions '!$B$9/12)*G$14</f>
        <v>112129225.2</v>
      </c>
      <c r="H19" s="93">
        <f>'Assumptions '!$B$96*'Assumptions '!$B$100*('Assumptions '!$B$9/12)*H$14</f>
        <v>224258450.5</v>
      </c>
      <c r="I19" s="93">
        <f>'Assumptions '!$B$96*'Assumptions '!$B$100*('Assumptions '!$B$9/12)*I$14</f>
        <v>285206740.1</v>
      </c>
      <c r="J19" s="93">
        <f>'Assumptions '!$B$96*'Assumptions '!$B$100*('Assumptions '!$B$9/12)*J$14</f>
        <v>285206740.1</v>
      </c>
      <c r="K19" s="93">
        <f>'Assumptions '!$B$96*'Assumptions '!$B$100*('Assumptions '!$B$9/12)*K$14</f>
        <v>285206740.1</v>
      </c>
      <c r="L19" s="93">
        <f>'Assumptions '!$B$96*'Assumptions '!$B$100*('Assumptions '!$B$9/12)*L$14</f>
        <v>285206740.1</v>
      </c>
      <c r="M19" s="93">
        <f>'Assumptions '!$B$96*'Assumptions '!$B$100*('Assumptions '!$B$9/12)*M$14</f>
        <v>285206740.1</v>
      </c>
      <c r="N19" s="93">
        <f>'Assumptions '!$B$96*'Assumptions '!$B$100*('Assumptions '!$B$9/12)*N$14</f>
        <v>285206740.1</v>
      </c>
      <c r="O19" s="93">
        <f>'Assumptions '!$B$96*'Assumptions '!$B$100*('Assumptions '!$B$9/12)*O$14</f>
        <v>285206740.1</v>
      </c>
      <c r="P19" s="94">
        <f t="shared" si="2"/>
        <v>2402183071</v>
      </c>
    </row>
    <row r="20" ht="14.25" customHeight="1">
      <c r="A20" s="57"/>
      <c r="B20" s="80" t="s">
        <v>321</v>
      </c>
      <c r="C20" s="93">
        <f>'Assumptions '!$B$97*'Assumptions '!$B$100*('Assumptions '!$B$9/12)*C$14</f>
        <v>0</v>
      </c>
      <c r="D20" s="93">
        <f>'Assumptions '!$B$97*'Assumptions '!$B$100*('Assumptions '!$B$9/12)*D$14</f>
        <v>932455.0741</v>
      </c>
      <c r="E20" s="93">
        <f>'Assumptions '!$B$97*'Assumptions '!$B$100*('Assumptions '!$B$9/12)*E$14</f>
        <v>1628450.249</v>
      </c>
      <c r="F20" s="93">
        <f>'Assumptions '!$B$97*'Assumptions '!$B$100*('Assumptions '!$B$9/12)*F$14</f>
        <v>5358270.545</v>
      </c>
      <c r="G20" s="93">
        <f>'Assumptions '!$B$97*'Assumptions '!$B$100*('Assumptions '!$B$9/12)*G$14</f>
        <v>12804526.62</v>
      </c>
      <c r="H20" s="93">
        <f>'Assumptions '!$B$97*'Assumptions '!$B$100*('Assumptions '!$B$9/12)*H$14</f>
        <v>25609053.23</v>
      </c>
      <c r="I20" s="93">
        <f>'Assumptions '!$B$97*'Assumptions '!$B$100*('Assumptions '!$B$9/12)*I$14</f>
        <v>32569004.98</v>
      </c>
      <c r="J20" s="93">
        <f>'Assumptions '!$B$97*'Assumptions '!$B$100*('Assumptions '!$B$9/12)*J$14</f>
        <v>32569004.98</v>
      </c>
      <c r="K20" s="93">
        <f>'Assumptions '!$B$97*'Assumptions '!$B$100*('Assumptions '!$B$9/12)*K$14</f>
        <v>32569004.98</v>
      </c>
      <c r="L20" s="93">
        <f>'Assumptions '!$B$97*'Assumptions '!$B$100*('Assumptions '!$B$9/12)*L$14</f>
        <v>32569004.98</v>
      </c>
      <c r="M20" s="93">
        <f>'Assumptions '!$B$97*'Assumptions '!$B$100*('Assumptions '!$B$9/12)*M$14</f>
        <v>32569004.98</v>
      </c>
      <c r="N20" s="93">
        <f>'Assumptions '!$B$97*'Assumptions '!$B$100*('Assumptions '!$B$9/12)*N$14</f>
        <v>32569004.98</v>
      </c>
      <c r="O20" s="93">
        <f>'Assumptions '!$B$97*'Assumptions '!$B$100*('Assumptions '!$B$9/12)*O$14</f>
        <v>32569004.98</v>
      </c>
      <c r="P20" s="94">
        <f t="shared" si="2"/>
        <v>274315790.6</v>
      </c>
    </row>
    <row r="21" ht="14.25" customHeight="1">
      <c r="A21" s="57"/>
      <c r="B21" s="80" t="s">
        <v>323</v>
      </c>
      <c r="C21" s="93">
        <f>'Assumptions '!$B$98*'Assumptions '!$B$100*('Assumptions '!$B$9/12)*C$14</f>
        <v>0</v>
      </c>
      <c r="D21" s="93">
        <f>'Assumptions '!$B$98*'Assumptions '!$B$100*('Assumptions '!$B$9/12)*D$14</f>
        <v>502470.1305</v>
      </c>
      <c r="E21" s="93">
        <f>'Assumptions '!$B$98*'Assumptions '!$B$100*('Assumptions '!$B$9/12)*E$14</f>
        <v>877519.6059</v>
      </c>
      <c r="F21" s="93">
        <f>'Assumptions '!$B$98*'Assumptions '!$B$100*('Assumptions '!$B$9/12)*F$14</f>
        <v>2887400.128</v>
      </c>
      <c r="G21" s="93">
        <f>'Assumptions '!$B$98*'Assumptions '!$B$100*('Assumptions '!$B$9/12)*G$14</f>
        <v>6899948.682</v>
      </c>
      <c r="H21" s="93">
        <f>'Assumptions '!$B$98*'Assumptions '!$B$100*('Assumptions '!$B$9/12)*H$14</f>
        <v>13799897.36</v>
      </c>
      <c r="I21" s="93">
        <f>'Assumptions '!$B$98*'Assumptions '!$B$100*('Assumptions '!$B$9/12)*I$14</f>
        <v>17550392.12</v>
      </c>
      <c r="J21" s="93">
        <f>'Assumptions '!$B$98*'Assumptions '!$B$100*('Assumptions '!$B$9/12)*J$14</f>
        <v>17550392.12</v>
      </c>
      <c r="K21" s="93">
        <f>'Assumptions '!$B$98*'Assumptions '!$B$100*('Assumptions '!$B$9/12)*K$14</f>
        <v>17550392.12</v>
      </c>
      <c r="L21" s="93">
        <f>'Assumptions '!$B$98*'Assumptions '!$B$100*('Assumptions '!$B$9/12)*L$14</f>
        <v>17550392.12</v>
      </c>
      <c r="M21" s="93">
        <f>'Assumptions '!$B$98*'Assumptions '!$B$100*('Assumptions '!$B$9/12)*M$14</f>
        <v>17550392.12</v>
      </c>
      <c r="N21" s="93">
        <f>'Assumptions '!$B$98*'Assumptions '!$B$100*('Assumptions '!$B$9/12)*N$14</f>
        <v>17550392.12</v>
      </c>
      <c r="O21" s="93">
        <f>'Assumptions '!$B$98*'Assumptions '!$B$100*('Assumptions '!$B$9/12)*O$14</f>
        <v>17550392.12</v>
      </c>
      <c r="P21" s="94">
        <f t="shared" si="2"/>
        <v>147819980.7</v>
      </c>
    </row>
    <row r="22" ht="14.25" customHeight="1">
      <c r="A22" s="75"/>
      <c r="B22" s="95" t="s">
        <v>42</v>
      </c>
      <c r="C22" s="96">
        <f t="shared" ref="C22:O22" si="3">SUM(C19:C21)</f>
        <v>0</v>
      </c>
      <c r="D22" s="96">
        <f t="shared" si="3"/>
        <v>9600433.244</v>
      </c>
      <c r="E22" s="96">
        <f t="shared" si="3"/>
        <v>16766306.86</v>
      </c>
      <c r="F22" s="96">
        <f t="shared" si="3"/>
        <v>55168039.84</v>
      </c>
      <c r="G22" s="96">
        <f t="shared" si="3"/>
        <v>131833700.5</v>
      </c>
      <c r="H22" s="96">
        <f t="shared" si="3"/>
        <v>263667401.1</v>
      </c>
      <c r="I22" s="96">
        <f t="shared" si="3"/>
        <v>335326137.2</v>
      </c>
      <c r="J22" s="96">
        <f t="shared" si="3"/>
        <v>335326137.2</v>
      </c>
      <c r="K22" s="96">
        <f t="shared" si="3"/>
        <v>335326137.2</v>
      </c>
      <c r="L22" s="96">
        <f t="shared" si="3"/>
        <v>335326137.2</v>
      </c>
      <c r="M22" s="96">
        <f t="shared" si="3"/>
        <v>335326137.2</v>
      </c>
      <c r="N22" s="96">
        <f t="shared" si="3"/>
        <v>335326137.2</v>
      </c>
      <c r="O22" s="96">
        <f t="shared" si="3"/>
        <v>335326137.2</v>
      </c>
      <c r="P22" s="96">
        <f t="shared" si="2"/>
        <v>2824318842</v>
      </c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5.0" customHeight="1">
      <c r="A24" s="76" t="s">
        <v>326</v>
      </c>
      <c r="B24" s="77" t="s">
        <v>327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56"/>
    </row>
    <row r="25" ht="14.25" customHeight="1">
      <c r="A25" s="57"/>
      <c r="B25" s="79" t="s">
        <v>328</v>
      </c>
      <c r="C25" s="79" t="s">
        <v>276</v>
      </c>
      <c r="D25" s="79" t="s">
        <v>8</v>
      </c>
      <c r="E25" s="79" t="s">
        <v>9</v>
      </c>
      <c r="F25" s="79" t="s">
        <v>10</v>
      </c>
      <c r="G25" s="79" t="s">
        <v>11</v>
      </c>
      <c r="H25" s="79" t="s">
        <v>12</v>
      </c>
      <c r="I25" s="79" t="s">
        <v>13</v>
      </c>
      <c r="J25" s="79" t="s">
        <v>14</v>
      </c>
      <c r="K25" s="79" t="s">
        <v>15</v>
      </c>
      <c r="L25" s="79" t="s">
        <v>16</v>
      </c>
      <c r="M25" s="79" t="s">
        <v>17</v>
      </c>
      <c r="N25" s="79" t="s">
        <v>18</v>
      </c>
      <c r="O25" s="79" t="s">
        <v>19</v>
      </c>
      <c r="P25" s="79" t="s">
        <v>277</v>
      </c>
    </row>
    <row r="26" ht="14.25" customHeight="1">
      <c r="A26" s="57"/>
      <c r="B26" s="80" t="s">
        <v>329</v>
      </c>
      <c r="C26" s="93">
        <f>'Assumptions '!$B$88*('Assumptions '!$B$43+'Assumptions '!$B$24*'Assumptions '!$B$44)*'Assumptions '!$B$42*('Assumptions '!$B$9/12)*C$13</f>
        <v>0</v>
      </c>
      <c r="D26" s="93">
        <f>'Assumptions '!$B$88*('Assumptions '!$B$43+'Assumptions '!$B$24*'Assumptions '!$B$44)*'Assumptions '!$B$42*('Assumptions '!$B$9/12)*D$13</f>
        <v>921296.394</v>
      </c>
      <c r="E26" s="93">
        <f>'Assumptions '!$B$88*('Assumptions '!$B$43+'Assumptions '!$B$24*'Assumptions '!$B$44)*'Assumptions '!$B$42*('Assumptions '!$B$9/12)*E$13</f>
        <v>921296.394</v>
      </c>
      <c r="F26" s="93">
        <f>'Assumptions '!$B$88*('Assumptions '!$B$43+'Assumptions '!$B$24*'Assumptions '!$B$44)*'Assumptions '!$B$42*('Assumptions '!$B$9/12)*F$13</f>
        <v>4606481.97</v>
      </c>
      <c r="G26" s="93">
        <f>'Assumptions '!$B$88*('Assumptions '!$B$43+'Assumptions '!$B$24*'Assumptions '!$B$44)*'Assumptions '!$B$42*('Assumptions '!$B$9/12)*G$13</f>
        <v>9212963.94</v>
      </c>
      <c r="H26" s="93">
        <f>'Assumptions '!$B$88*('Assumptions '!$B$43+'Assumptions '!$B$24*'Assumptions '!$B$44)*'Assumptions '!$B$42*('Assumptions '!$B$9/12)*H$13</f>
        <v>18425927.88</v>
      </c>
      <c r="I26" s="93">
        <f>'Assumptions '!$B$88*('Assumptions '!$B$43+'Assumptions '!$B$24*'Assumptions '!$B$44)*'Assumptions '!$B$42*('Assumptions '!$B$9/12)*I$13</f>
        <v>18425927.88</v>
      </c>
      <c r="J26" s="93">
        <f>'Assumptions '!$B$88*('Assumptions '!$B$43+'Assumptions '!$B$24*'Assumptions '!$B$44)*'Assumptions '!$B$42*('Assumptions '!$B$9/12)*J$13</f>
        <v>18425927.88</v>
      </c>
      <c r="K26" s="93">
        <f>'Assumptions '!$B$88*('Assumptions '!$B$43+'Assumptions '!$B$24*'Assumptions '!$B$44)*'Assumptions '!$B$42*('Assumptions '!$B$9/12)*K$13</f>
        <v>18425927.88</v>
      </c>
      <c r="L26" s="93">
        <f>'Assumptions '!$B$88*('Assumptions '!$B$43+'Assumptions '!$B$24*'Assumptions '!$B$44)*'Assumptions '!$B$42*('Assumptions '!$B$9/12)*L$13</f>
        <v>18425927.88</v>
      </c>
      <c r="M26" s="93">
        <f>'Assumptions '!$B$88*('Assumptions '!$B$43+'Assumptions '!$B$24*'Assumptions '!$B$44)*'Assumptions '!$B$42*('Assumptions '!$B$9/12)*M$13</f>
        <v>18425927.88</v>
      </c>
      <c r="N26" s="93">
        <f>'Assumptions '!$B$88*('Assumptions '!$B$43+'Assumptions '!$B$24*'Assumptions '!$B$44)*'Assumptions '!$B$42*('Assumptions '!$B$9/12)*N$13</f>
        <v>18425927.88</v>
      </c>
      <c r="O26" s="93">
        <f>'Assumptions '!$B$88*('Assumptions '!$B$43+'Assumptions '!$B$24*'Assumptions '!$B$44)*'Assumptions '!$B$42*('Assumptions '!$B$9/12)*O$13</f>
        <v>18425927.88</v>
      </c>
      <c r="P26" s="94">
        <f t="shared" ref="P26:P42" si="4">SUM(C26:O26)</f>
        <v>163069461.7</v>
      </c>
    </row>
    <row r="27" ht="14.25" customHeight="1">
      <c r="A27" s="57"/>
      <c r="B27" s="80" t="s">
        <v>334</v>
      </c>
      <c r="C27" s="93">
        <f>'Assumptions '!$B$88*('Assumptions '!$B$43+'Assumptions '!$B$24*'Assumptions '!$B$44)*'Assumptions '!$B$42*'Assumptions '!$B$45*('Assumptions '!$B$9/12)*C$13</f>
        <v>0</v>
      </c>
      <c r="D27" s="93">
        <f>'Assumptions '!$B$88*('Assumptions '!$B$43+'Assumptions '!$B$24*'Assumptions '!$B$44)*'Assumptions '!$B$42*'Assumptions '!$B$45*('Assumptions '!$B$9/12)*D$13</f>
        <v>92129.6394</v>
      </c>
      <c r="E27" s="93">
        <f>'Assumptions '!$B$88*('Assumptions '!$B$43+'Assumptions '!$B$24*'Assumptions '!$B$44)*'Assumptions '!$B$42*'Assumptions '!$B$45*('Assumptions '!$B$9/12)*E$13</f>
        <v>92129.6394</v>
      </c>
      <c r="F27" s="93">
        <f>'Assumptions '!$B$88*('Assumptions '!$B$43+'Assumptions '!$B$24*'Assumptions '!$B$44)*'Assumptions '!$B$42*'Assumptions '!$B$45*('Assumptions '!$B$9/12)*F$13</f>
        <v>460648.197</v>
      </c>
      <c r="G27" s="93">
        <f>'Assumptions '!$B$88*('Assumptions '!$B$43+'Assumptions '!$B$24*'Assumptions '!$B$44)*'Assumptions '!$B$42*'Assumptions '!$B$45*('Assumptions '!$B$9/12)*G$13</f>
        <v>921296.394</v>
      </c>
      <c r="H27" s="93">
        <f>'Assumptions '!$B$88*('Assumptions '!$B$43+'Assumptions '!$B$24*'Assumptions '!$B$44)*'Assumptions '!$B$42*'Assumptions '!$B$45*('Assumptions '!$B$9/12)*H$13</f>
        <v>1842592.788</v>
      </c>
      <c r="I27" s="93">
        <f>'Assumptions '!$B$88*('Assumptions '!$B$43+'Assumptions '!$B$24*'Assumptions '!$B$44)*'Assumptions '!$B$42*'Assumptions '!$B$45*('Assumptions '!$B$9/12)*I$13</f>
        <v>1842592.788</v>
      </c>
      <c r="J27" s="93">
        <f>'Assumptions '!$B$88*('Assumptions '!$B$43+'Assumptions '!$B$24*'Assumptions '!$B$44)*'Assumptions '!$B$42*'Assumptions '!$B$45*('Assumptions '!$B$9/12)*J$13</f>
        <v>1842592.788</v>
      </c>
      <c r="K27" s="93">
        <f>'Assumptions '!$B$88*('Assumptions '!$B$43+'Assumptions '!$B$24*'Assumptions '!$B$44)*'Assumptions '!$B$42*'Assumptions '!$B$45*('Assumptions '!$B$9/12)*K$13</f>
        <v>1842592.788</v>
      </c>
      <c r="L27" s="93">
        <f>'Assumptions '!$B$88*('Assumptions '!$B$43+'Assumptions '!$B$24*'Assumptions '!$B$44)*'Assumptions '!$B$42*'Assumptions '!$B$45*('Assumptions '!$B$9/12)*L$13</f>
        <v>1842592.788</v>
      </c>
      <c r="M27" s="93">
        <f>'Assumptions '!$B$88*('Assumptions '!$B$43+'Assumptions '!$B$24*'Assumptions '!$B$44)*'Assumptions '!$B$42*'Assumptions '!$B$45*('Assumptions '!$B$9/12)*M$13</f>
        <v>1842592.788</v>
      </c>
      <c r="N27" s="93">
        <f>'Assumptions '!$B$88*('Assumptions '!$B$43+'Assumptions '!$B$24*'Assumptions '!$B$44)*'Assumptions '!$B$42*'Assumptions '!$B$45*('Assumptions '!$B$9/12)*N$13</f>
        <v>1842592.788</v>
      </c>
      <c r="O27" s="93">
        <f>'Assumptions '!$B$88*('Assumptions '!$B$43+'Assumptions '!$B$24*'Assumptions '!$B$44)*'Assumptions '!$B$42*'Assumptions '!$B$45*('Assumptions '!$B$9/12)*O$13</f>
        <v>1842592.788</v>
      </c>
      <c r="P27" s="94">
        <f t="shared" si="4"/>
        <v>16306946.17</v>
      </c>
    </row>
    <row r="28" ht="14.25" customHeight="1">
      <c r="A28" s="57"/>
      <c r="B28" s="80" t="s">
        <v>335</v>
      </c>
      <c r="C28" s="93">
        <f>'Assumptions '!$B$90*'Assumptions '!$B$46*('Assumptions '!$B$9/12)*C$13</f>
        <v>0</v>
      </c>
      <c r="D28" s="93">
        <f>'Assumptions '!$B$90*'Assumptions '!$B$46*('Assumptions '!$B$9/12)*D$13</f>
        <v>397570.8616</v>
      </c>
      <c r="E28" s="93">
        <f>'Assumptions '!$B$90*'Assumptions '!$B$46*('Assumptions '!$B$9/12)*E$13</f>
        <v>397570.8616</v>
      </c>
      <c r="F28" s="93">
        <f>'Assumptions '!$B$90*'Assumptions '!$B$46*('Assumptions '!$B$9/12)*F$13</f>
        <v>1987854.308</v>
      </c>
      <c r="G28" s="93">
        <f>'Assumptions '!$B$90*'Assumptions '!$B$46*('Assumptions '!$B$9/12)*G$13</f>
        <v>3975708.616</v>
      </c>
      <c r="H28" s="93">
        <f>'Assumptions '!$B$90*'Assumptions '!$B$46*('Assumptions '!$B$9/12)*H$13</f>
        <v>7951417.231</v>
      </c>
      <c r="I28" s="93">
        <f>'Assumptions '!$B$90*'Assumptions '!$B$46*('Assumptions '!$B$9/12)*I$13</f>
        <v>7951417.231</v>
      </c>
      <c r="J28" s="93">
        <f>'Assumptions '!$B$90*'Assumptions '!$B$46*('Assumptions '!$B$9/12)*J$13</f>
        <v>7951417.231</v>
      </c>
      <c r="K28" s="93">
        <f>'Assumptions '!$B$90*'Assumptions '!$B$46*('Assumptions '!$B$9/12)*K$13</f>
        <v>7951417.231</v>
      </c>
      <c r="L28" s="93">
        <f>'Assumptions '!$B$90*'Assumptions '!$B$46*('Assumptions '!$B$9/12)*L$13</f>
        <v>7951417.231</v>
      </c>
      <c r="M28" s="93">
        <f>'Assumptions '!$B$90*'Assumptions '!$B$46*('Assumptions '!$B$9/12)*M$13</f>
        <v>7951417.231</v>
      </c>
      <c r="N28" s="93">
        <f>'Assumptions '!$B$90*'Assumptions '!$B$46*('Assumptions '!$B$9/12)*N$13</f>
        <v>7951417.231</v>
      </c>
      <c r="O28" s="93">
        <f>'Assumptions '!$B$90*'Assumptions '!$B$46*('Assumptions '!$B$9/12)*O$13</f>
        <v>7951417.231</v>
      </c>
      <c r="P28" s="94">
        <f t="shared" si="4"/>
        <v>70370042.5</v>
      </c>
    </row>
    <row r="29" ht="14.25" customHeight="1">
      <c r="A29" s="57"/>
      <c r="B29" s="80" t="s">
        <v>336</v>
      </c>
      <c r="C29" s="93">
        <f>'Assumptions '!$B$91*'Assumptions '!$B$47*('Assumptions '!$B$9/12)*C$13</f>
        <v>0</v>
      </c>
      <c r="D29" s="93">
        <f>'Assumptions '!$B$91*'Assumptions '!$B$47*('Assumptions '!$B$9/12)*D$13</f>
        <v>26504.7241</v>
      </c>
      <c r="E29" s="93">
        <f>'Assumptions '!$B$91*'Assumptions '!$B$47*('Assumptions '!$B$9/12)*E$13</f>
        <v>26504.7241</v>
      </c>
      <c r="F29" s="93">
        <f>'Assumptions '!$B$91*'Assumptions '!$B$47*('Assumptions '!$B$9/12)*F$13</f>
        <v>132523.6205</v>
      </c>
      <c r="G29" s="93">
        <f>'Assumptions '!$B$91*'Assumptions '!$B$47*('Assumptions '!$B$9/12)*G$13</f>
        <v>265047.241</v>
      </c>
      <c r="H29" s="93">
        <f>'Assumptions '!$B$91*'Assumptions '!$B$47*('Assumptions '!$B$9/12)*H$13</f>
        <v>530094.4821</v>
      </c>
      <c r="I29" s="93">
        <f>'Assumptions '!$B$91*'Assumptions '!$B$47*('Assumptions '!$B$9/12)*I$13</f>
        <v>530094.4821</v>
      </c>
      <c r="J29" s="93">
        <f>'Assumptions '!$B$91*'Assumptions '!$B$47*('Assumptions '!$B$9/12)*J$13</f>
        <v>530094.4821</v>
      </c>
      <c r="K29" s="93">
        <f>'Assumptions '!$B$91*'Assumptions '!$B$47*('Assumptions '!$B$9/12)*K$13</f>
        <v>530094.4821</v>
      </c>
      <c r="L29" s="93">
        <f>'Assumptions '!$B$91*'Assumptions '!$B$47*('Assumptions '!$B$9/12)*L$13</f>
        <v>530094.4821</v>
      </c>
      <c r="M29" s="93">
        <f>'Assumptions '!$B$91*'Assumptions '!$B$47*('Assumptions '!$B$9/12)*M$13</f>
        <v>530094.4821</v>
      </c>
      <c r="N29" s="93">
        <f>'Assumptions '!$B$91*'Assumptions '!$B$47*('Assumptions '!$B$9/12)*N$13</f>
        <v>530094.4821</v>
      </c>
      <c r="O29" s="93">
        <f>'Assumptions '!$B$91*'Assumptions '!$B$47*('Assumptions '!$B$9/12)*O$13</f>
        <v>530094.4821</v>
      </c>
      <c r="P29" s="94">
        <f t="shared" si="4"/>
        <v>4691336.167</v>
      </c>
    </row>
    <row r="30" ht="14.25" customHeight="1">
      <c r="A30" s="57"/>
      <c r="B30" s="80" t="s">
        <v>337</v>
      </c>
      <c r="C30" s="93">
        <f>'Assumptions '!$B$101*'Assumptions '!$B$102*('Assumptions '!$B$9/12)*C$13</f>
        <v>0</v>
      </c>
      <c r="D30" s="93">
        <f>'Assumptions '!$B$101*'Assumptions '!$B$102*('Assumptions '!$B$9/12)*D$13</f>
        <v>51366.15531</v>
      </c>
      <c r="E30" s="93">
        <f>'Assumptions '!$B$101*'Assumptions '!$B$102*('Assumptions '!$B$9/12)*E$13</f>
        <v>51366.15531</v>
      </c>
      <c r="F30" s="93">
        <f>'Assumptions '!$B$101*'Assumptions '!$B$102*('Assumptions '!$B$9/12)*F$13</f>
        <v>256830.7766</v>
      </c>
      <c r="G30" s="93">
        <f>'Assumptions '!$B$101*'Assumptions '!$B$102*('Assumptions '!$B$9/12)*G$13</f>
        <v>513661.5531</v>
      </c>
      <c r="H30" s="93">
        <f>'Assumptions '!$B$101*'Assumptions '!$B$102*('Assumptions '!$B$9/12)*H$13</f>
        <v>1027323.106</v>
      </c>
      <c r="I30" s="93">
        <f>'Assumptions '!$B$101*'Assumptions '!$B$102*('Assumptions '!$B$9/12)*I$13</f>
        <v>1027323.106</v>
      </c>
      <c r="J30" s="93">
        <f>'Assumptions '!$B$101*'Assumptions '!$B$102*('Assumptions '!$B$9/12)*J$13</f>
        <v>1027323.106</v>
      </c>
      <c r="K30" s="93">
        <f>'Assumptions '!$B$101*'Assumptions '!$B$102*('Assumptions '!$B$9/12)*K$13</f>
        <v>1027323.106</v>
      </c>
      <c r="L30" s="93">
        <f>'Assumptions '!$B$101*'Assumptions '!$B$102*('Assumptions '!$B$9/12)*L$13</f>
        <v>1027323.106</v>
      </c>
      <c r="M30" s="93">
        <f>'Assumptions '!$B$101*'Assumptions '!$B$102*('Assumptions '!$B$9/12)*M$13</f>
        <v>1027323.106</v>
      </c>
      <c r="N30" s="93">
        <f>'Assumptions '!$B$101*'Assumptions '!$B$102*('Assumptions '!$B$9/12)*N$13</f>
        <v>1027323.106</v>
      </c>
      <c r="O30" s="93">
        <f>'Assumptions '!$B$101*'Assumptions '!$B$102*('Assumptions '!$B$9/12)*O$13</f>
        <v>1027323.106</v>
      </c>
      <c r="P30" s="94">
        <f t="shared" si="4"/>
        <v>9091809.491</v>
      </c>
    </row>
    <row r="31" ht="14.25" customHeight="1">
      <c r="A31" s="57"/>
      <c r="B31" s="80" t="s">
        <v>338</v>
      </c>
      <c r="C31" s="93">
        <f>'Assumptions '!$B$89*'Assumptions '!$B$37*'Assumptions '!$B$38*('Assumptions '!$B$9/12)*C$13</f>
        <v>0</v>
      </c>
      <c r="D31" s="93">
        <f>'Assumptions '!$B$89*'Assumptions '!$B$37*'Assumptions '!$B$38*('Assumptions '!$B$9/12)*D$13</f>
        <v>459900</v>
      </c>
      <c r="E31" s="93">
        <f>'Assumptions '!$B$89*'Assumptions '!$B$37*'Assumptions '!$B$38*('Assumptions '!$B$9/12)*E$13</f>
        <v>459900</v>
      </c>
      <c r="F31" s="93">
        <f>'Assumptions '!$B$89*'Assumptions '!$B$37*'Assumptions '!$B$38*('Assumptions '!$B$9/12)*F$13</f>
        <v>2299500</v>
      </c>
      <c r="G31" s="93">
        <f>'Assumptions '!$B$89*'Assumptions '!$B$37*'Assumptions '!$B$38*('Assumptions '!$B$9/12)*G$13</f>
        <v>4599000</v>
      </c>
      <c r="H31" s="93">
        <f>'Assumptions '!$B$89*'Assumptions '!$B$37*'Assumptions '!$B$38*('Assumptions '!$B$9/12)*H$13</f>
        <v>9198000</v>
      </c>
      <c r="I31" s="93">
        <f>'Assumptions '!$B$89*'Assumptions '!$B$37*'Assumptions '!$B$38*('Assumptions '!$B$9/12)*I$13</f>
        <v>9198000</v>
      </c>
      <c r="J31" s="93">
        <f>'Assumptions '!$B$89*'Assumptions '!$B$37*'Assumptions '!$B$38*('Assumptions '!$B$9/12)*J$13</f>
        <v>9198000</v>
      </c>
      <c r="K31" s="93">
        <f>'Assumptions '!$B$89*'Assumptions '!$B$37*'Assumptions '!$B$38*('Assumptions '!$B$9/12)*K$13</f>
        <v>9198000</v>
      </c>
      <c r="L31" s="93">
        <f>'Assumptions '!$B$89*'Assumptions '!$B$37*'Assumptions '!$B$38*('Assumptions '!$B$9/12)*L$13</f>
        <v>9198000</v>
      </c>
      <c r="M31" s="93">
        <f>'Assumptions '!$B$89*'Assumptions '!$B$37*'Assumptions '!$B$38*('Assumptions '!$B$9/12)*M$13</f>
        <v>9198000</v>
      </c>
      <c r="N31" s="93">
        <f>'Assumptions '!$B$89*'Assumptions '!$B$37*'Assumptions '!$B$38*('Assumptions '!$B$9/12)*N$13</f>
        <v>9198000</v>
      </c>
      <c r="O31" s="93">
        <f>'Assumptions '!$B$89*'Assumptions '!$B$37*'Assumptions '!$B$38*('Assumptions '!$B$9/12)*O$13</f>
        <v>9198000</v>
      </c>
      <c r="P31" s="94">
        <f t="shared" si="4"/>
        <v>81402300</v>
      </c>
    </row>
    <row r="32" ht="14.25" customHeight="1">
      <c r="A32" s="57"/>
      <c r="B32" s="80" t="s">
        <v>339</v>
      </c>
      <c r="C32" s="93">
        <f>'Assumptions '!$B$103*'Assumptions '!$B$34*('Assumptions '!$B$9/12)*C$13</f>
        <v>0</v>
      </c>
      <c r="D32" s="93">
        <f>'Assumptions '!$B$103*'Assumptions '!$B$34*('Assumptions '!$B$9/12)*D$13</f>
        <v>249074.8981</v>
      </c>
      <c r="E32" s="93">
        <f>'Assumptions '!$B$103*'Assumptions '!$B$34*('Assumptions '!$B$9/12)*E$13</f>
        <v>249074.8981</v>
      </c>
      <c r="F32" s="93">
        <f>'Assumptions '!$B$103*'Assumptions '!$B$34*('Assumptions '!$B$9/12)*F$13</f>
        <v>1245374.491</v>
      </c>
      <c r="G32" s="93">
        <f>'Assumptions '!$B$103*'Assumptions '!$B$34*('Assumptions '!$B$9/12)*G$13</f>
        <v>2490748.981</v>
      </c>
      <c r="H32" s="93">
        <f>'Assumptions '!$B$103*'Assumptions '!$B$34*('Assumptions '!$B$9/12)*H$13</f>
        <v>4981497.962</v>
      </c>
      <c r="I32" s="93">
        <f>'Assumptions '!$B$103*'Assumptions '!$B$34*('Assumptions '!$B$9/12)*I$13</f>
        <v>4981497.962</v>
      </c>
      <c r="J32" s="93">
        <f>'Assumptions '!$B$103*'Assumptions '!$B$34*('Assumptions '!$B$9/12)*J$13</f>
        <v>4981497.962</v>
      </c>
      <c r="K32" s="93">
        <f>'Assumptions '!$B$103*'Assumptions '!$B$34*('Assumptions '!$B$9/12)*K$13</f>
        <v>4981497.962</v>
      </c>
      <c r="L32" s="93">
        <f>'Assumptions '!$B$103*'Assumptions '!$B$34*('Assumptions '!$B$9/12)*L$13</f>
        <v>4981497.962</v>
      </c>
      <c r="M32" s="93">
        <f>'Assumptions '!$B$103*'Assumptions '!$B$34*('Assumptions '!$B$9/12)*M$13</f>
        <v>4981497.962</v>
      </c>
      <c r="N32" s="93">
        <f>'Assumptions '!$B$103*'Assumptions '!$B$34*('Assumptions '!$B$9/12)*N$13</f>
        <v>4981497.962</v>
      </c>
      <c r="O32" s="93">
        <f>'Assumptions '!$B$103*'Assumptions '!$B$34*('Assumptions '!$B$9/12)*O$13</f>
        <v>4981497.962</v>
      </c>
      <c r="P32" s="94">
        <f t="shared" si="4"/>
        <v>44086256.97</v>
      </c>
    </row>
    <row r="33" ht="14.25" customHeight="1">
      <c r="A33" s="57"/>
      <c r="B33" s="80" t="s">
        <v>340</v>
      </c>
      <c r="C33" s="93">
        <f>'Assumptions '!$B$105*('Assumptions '!$B$34+'Assumptions '!$B$100)*('Assumptions '!$B$9/12)*C$13</f>
        <v>0</v>
      </c>
      <c r="D33" s="93">
        <f>'Assumptions '!$B$105*('Assumptions '!$B$34+'Assumptions '!$B$100)*('Assumptions '!$B$9/12)*D$13</f>
        <v>0</v>
      </c>
      <c r="E33" s="93">
        <f>'Assumptions '!$B$105*('Assumptions '!$B$34+'Assumptions '!$B$100)*('Assumptions '!$B$9/12)*E$13</f>
        <v>0</v>
      </c>
      <c r="F33" s="93">
        <f>'Assumptions '!$B$105*('Assumptions '!$B$34+'Assumptions '!$B$100)*('Assumptions '!$B$9/12)*F$13</f>
        <v>0</v>
      </c>
      <c r="G33" s="93">
        <f>'Assumptions '!$B$105*('Assumptions '!$B$34+'Assumptions '!$B$100)*('Assumptions '!$B$9/12)*G$13</f>
        <v>0</v>
      </c>
      <c r="H33" s="93">
        <f>'Assumptions '!$B$105*('Assumptions '!$B$34+'Assumptions '!$B$100)*('Assumptions '!$B$9/12)*H$13</f>
        <v>0</v>
      </c>
      <c r="I33" s="93">
        <f>'Assumptions '!$B$105*('Assumptions '!$B$34+'Assumptions '!$B$100)*('Assumptions '!$B$9/12)*I$13</f>
        <v>0</v>
      </c>
      <c r="J33" s="93">
        <f>'Assumptions '!$B$105*('Assumptions '!$B$34+'Assumptions '!$B$100)*('Assumptions '!$B$9/12)*J$13</f>
        <v>0</v>
      </c>
      <c r="K33" s="93">
        <f>'Assumptions '!$B$105*('Assumptions '!$B$34+'Assumptions '!$B$100)*('Assumptions '!$B$9/12)*K$13</f>
        <v>0</v>
      </c>
      <c r="L33" s="93">
        <f>'Assumptions '!$B$105*('Assumptions '!$B$34+'Assumptions '!$B$100)*('Assumptions '!$B$9/12)*L$13</f>
        <v>0</v>
      </c>
      <c r="M33" s="93">
        <f>'Assumptions '!$B$105*('Assumptions '!$B$34+'Assumptions '!$B$100)*('Assumptions '!$B$9/12)*M$13</f>
        <v>0</v>
      </c>
      <c r="N33" s="93">
        <f>'Assumptions '!$B$105*('Assumptions '!$B$34+'Assumptions '!$B$100)*('Assumptions '!$B$9/12)*N$13</f>
        <v>0</v>
      </c>
      <c r="O33" s="93">
        <f>'Assumptions '!$B$105*('Assumptions '!$B$34+'Assumptions '!$B$100)*('Assumptions '!$B$9/12)*O$13</f>
        <v>0</v>
      </c>
      <c r="P33" s="94">
        <f t="shared" si="4"/>
        <v>0</v>
      </c>
    </row>
    <row r="34" ht="14.25" customHeight="1">
      <c r="A34" s="57"/>
      <c r="B34" s="80" t="s">
        <v>341</v>
      </c>
      <c r="C34" s="93">
        <f>'Assumptions '!$B$53*'Assumptions '!$B$54*C$13</f>
        <v>0</v>
      </c>
      <c r="D34" s="93">
        <f>'Assumptions '!$B$53*'Assumptions '!$B$54*D$13</f>
        <v>5000</v>
      </c>
      <c r="E34" s="93">
        <f>'Assumptions '!$B$53*'Assumptions '!$B$54*E$13</f>
        <v>5000</v>
      </c>
      <c r="F34" s="93">
        <f>'Assumptions '!$B$53*'Assumptions '!$B$54*F$13</f>
        <v>25000</v>
      </c>
      <c r="G34" s="93">
        <f>'Assumptions '!$B$53*'Assumptions '!$B$54*G$13</f>
        <v>50000</v>
      </c>
      <c r="H34" s="93">
        <f>'Assumptions '!$B$53*'Assumptions '!$B$54*H$13</f>
        <v>100000</v>
      </c>
      <c r="I34" s="93">
        <f>'Assumptions '!$B$53*'Assumptions '!$B$54*I$13</f>
        <v>100000</v>
      </c>
      <c r="J34" s="93">
        <f>'Assumptions '!$B$53*'Assumptions '!$B$54*J$13</f>
        <v>100000</v>
      </c>
      <c r="K34" s="93">
        <f>'Assumptions '!$B$53*'Assumptions '!$B$54*K$13</f>
        <v>100000</v>
      </c>
      <c r="L34" s="93">
        <f>'Assumptions '!$B$53*'Assumptions '!$B$54*L$13</f>
        <v>100000</v>
      </c>
      <c r="M34" s="93">
        <f>'Assumptions '!$B$53*'Assumptions '!$B$54*M$13</f>
        <v>100000</v>
      </c>
      <c r="N34" s="93">
        <f>'Assumptions '!$B$53*'Assumptions '!$B$54*N$13</f>
        <v>100000</v>
      </c>
      <c r="O34" s="93">
        <f>'Assumptions '!$B$53*'Assumptions '!$B$54*O$13</f>
        <v>100000</v>
      </c>
      <c r="P34" s="94">
        <f t="shared" si="4"/>
        <v>885000</v>
      </c>
    </row>
    <row r="35" ht="14.25" customHeight="1">
      <c r="A35" s="57"/>
      <c r="B35" s="80" t="s">
        <v>342</v>
      </c>
      <c r="C35" s="93">
        <f>IF(0&gt;=1,'Assumptions '!$B$48,0)</f>
        <v>0</v>
      </c>
      <c r="D35" s="93">
        <f>IF(1&gt;=1,'Assumptions '!$B$48,0)</f>
        <v>8500</v>
      </c>
      <c r="E35" s="93">
        <f>IF(2&gt;=1,'Assumptions '!$B$48,0)</f>
        <v>8500</v>
      </c>
      <c r="F35" s="93">
        <f>IF(3&gt;=1,'Assumptions '!$B$48,0)</f>
        <v>8500</v>
      </c>
      <c r="G35" s="93">
        <f>IF(4&gt;=1,'Assumptions '!$B$48,0)</f>
        <v>8500</v>
      </c>
      <c r="H35" s="93">
        <f>IF(5&gt;=1,'Assumptions '!$B$48,0)</f>
        <v>8500</v>
      </c>
      <c r="I35" s="93">
        <f>IF(6&gt;=1,'Assumptions '!$B$48,0)</f>
        <v>8500</v>
      </c>
      <c r="J35" s="93">
        <f>IF(7&gt;=1,'Assumptions '!$B$48,0)</f>
        <v>8500</v>
      </c>
      <c r="K35" s="93">
        <f>IF(8&gt;=1,'Assumptions '!$B$48,0)</f>
        <v>8500</v>
      </c>
      <c r="L35" s="93">
        <f>IF(9&gt;=1,'Assumptions '!$B$48,0)</f>
        <v>8500</v>
      </c>
      <c r="M35" s="93">
        <f>IF(10&gt;=1,'Assumptions '!$B$48,0)</f>
        <v>8500</v>
      </c>
      <c r="N35" s="93">
        <f>IF(11&gt;=1,'Assumptions '!$B$48,0)</f>
        <v>8500</v>
      </c>
      <c r="O35" s="93">
        <f>IF(12&gt;=1,'Assumptions '!$B$48,0)</f>
        <v>8500</v>
      </c>
      <c r="P35" s="94">
        <f t="shared" si="4"/>
        <v>102000</v>
      </c>
    </row>
    <row r="36" ht="14.25" customHeight="1">
      <c r="A36" s="57"/>
      <c r="B36" s="80" t="s">
        <v>343</v>
      </c>
      <c r="C36" s="93">
        <f>IF(0&gt;=1,'Assumptions '!$B$61*'Assumptions '!$B$60,0)</f>
        <v>0</v>
      </c>
      <c r="D36" s="93">
        <f>IF(1&gt;=1,'Assumptions '!$B$61*'Assumptions '!$B$60,0)</f>
        <v>46800</v>
      </c>
      <c r="E36" s="93">
        <f>IF(2&gt;=1,'Assumptions '!$B$61*'Assumptions '!$B$60,0)</f>
        <v>46800</v>
      </c>
      <c r="F36" s="93">
        <f>IF(3&gt;=1,'Assumptions '!$B$61*'Assumptions '!$B$60,0)</f>
        <v>46800</v>
      </c>
      <c r="G36" s="93">
        <f>IF(4&gt;=1,'Assumptions '!$B$61*'Assumptions '!$B$60,0)</f>
        <v>46800</v>
      </c>
      <c r="H36" s="93">
        <f>IF(5&gt;=1,'Assumptions '!$B$61*'Assumptions '!$B$60,0)</f>
        <v>46800</v>
      </c>
      <c r="I36" s="93">
        <f>IF(6&gt;=1,'Assumptions '!$B$61*'Assumptions '!$B$60,0)</f>
        <v>46800</v>
      </c>
      <c r="J36" s="93">
        <f>IF(7&gt;=1,'Assumptions '!$B$61*'Assumptions '!$B$60,0)</f>
        <v>46800</v>
      </c>
      <c r="K36" s="93">
        <f>IF(8&gt;=1,'Assumptions '!$B$61*'Assumptions '!$B$60,0)</f>
        <v>46800</v>
      </c>
      <c r="L36" s="93">
        <f>IF(9&gt;=1,'Assumptions '!$B$61*'Assumptions '!$B$60,0)</f>
        <v>46800</v>
      </c>
      <c r="M36" s="93">
        <f>IF(10&gt;=1,'Assumptions '!$B$61*'Assumptions '!$B$60,0)</f>
        <v>46800</v>
      </c>
      <c r="N36" s="93">
        <f>IF(11&gt;=1,'Assumptions '!$B$61*'Assumptions '!$B$60,0)</f>
        <v>46800</v>
      </c>
      <c r="O36" s="93">
        <f>IF(12&gt;=1,'Assumptions '!$B$61*'Assumptions '!$B$60,0)</f>
        <v>46800</v>
      </c>
      <c r="P36" s="94">
        <f t="shared" si="4"/>
        <v>561600</v>
      </c>
    </row>
    <row r="37" ht="14.25" customHeight="1">
      <c r="A37" s="57"/>
      <c r="B37" s="80" t="s">
        <v>344</v>
      </c>
      <c r="C37" s="93">
        <f>IF(0&gt;=1,'Assumptions '!$B$63*'Assumptions '!$B$62,0)</f>
        <v>0</v>
      </c>
      <c r="D37" s="93">
        <f>IF(1&gt;=1,'Assumptions '!$B$63*'Assumptions '!$B$62,0)</f>
        <v>30800</v>
      </c>
      <c r="E37" s="93">
        <f>IF(2&gt;=1,'Assumptions '!$B$63*'Assumptions '!$B$62,0)</f>
        <v>30800</v>
      </c>
      <c r="F37" s="93">
        <f>IF(3&gt;=1,'Assumptions '!$B$63*'Assumptions '!$B$62,0)</f>
        <v>30800</v>
      </c>
      <c r="G37" s="93">
        <f>IF(4&gt;=1,'Assumptions '!$B$63*'Assumptions '!$B$62,0)</f>
        <v>30800</v>
      </c>
      <c r="H37" s="93">
        <f>IF(5&gt;=1,'Assumptions '!$B$63*'Assumptions '!$B$62,0)</f>
        <v>30800</v>
      </c>
      <c r="I37" s="93">
        <f>IF(6&gt;=1,'Assumptions '!$B$63*'Assumptions '!$B$62,0)</f>
        <v>30800</v>
      </c>
      <c r="J37" s="93">
        <f>IF(7&gt;=1,'Assumptions '!$B$63*'Assumptions '!$B$62,0)</f>
        <v>30800</v>
      </c>
      <c r="K37" s="93">
        <f>IF(8&gt;=1,'Assumptions '!$B$63*'Assumptions '!$B$62,0)</f>
        <v>30800</v>
      </c>
      <c r="L37" s="93">
        <f>IF(9&gt;=1,'Assumptions '!$B$63*'Assumptions '!$B$62,0)</f>
        <v>30800</v>
      </c>
      <c r="M37" s="93">
        <f>IF(10&gt;=1,'Assumptions '!$B$63*'Assumptions '!$B$62,0)</f>
        <v>30800</v>
      </c>
      <c r="N37" s="93">
        <f>IF(11&gt;=1,'Assumptions '!$B$63*'Assumptions '!$B$62,0)</f>
        <v>30800</v>
      </c>
      <c r="O37" s="93">
        <f>IF(12&gt;=1,'Assumptions '!$B$63*'Assumptions '!$B$62,0)</f>
        <v>30800</v>
      </c>
      <c r="P37" s="94">
        <f t="shared" si="4"/>
        <v>369600</v>
      </c>
    </row>
    <row r="38" ht="14.25" customHeight="1">
      <c r="A38" s="57"/>
      <c r="B38" s="80" t="s">
        <v>345</v>
      </c>
      <c r="C38" s="93">
        <f>'Assumptions '!$B$106*'Assumptions '!$B$67*C$13</f>
        <v>0</v>
      </c>
      <c r="D38" s="93">
        <f>'Assumptions '!$B$106*'Assumptions '!$B$67*D$13</f>
        <v>328.5914583</v>
      </c>
      <c r="E38" s="93">
        <f>'Assumptions '!$B$106*'Assumptions '!$B$67*E$13</f>
        <v>328.5914583</v>
      </c>
      <c r="F38" s="93">
        <f>'Assumptions '!$B$106*'Assumptions '!$B$67*F$13</f>
        <v>1642.957291</v>
      </c>
      <c r="G38" s="93">
        <f>'Assumptions '!$B$106*'Assumptions '!$B$67*G$13</f>
        <v>3285.914583</v>
      </c>
      <c r="H38" s="93">
        <f>'Assumptions '!$B$106*'Assumptions '!$B$67*H$13</f>
        <v>6571.829165</v>
      </c>
      <c r="I38" s="93">
        <f>'Assumptions '!$B$106*'Assumptions '!$B$67*I$13</f>
        <v>6571.829165</v>
      </c>
      <c r="J38" s="93">
        <f>'Assumptions '!$B$106*'Assumptions '!$B$67*J$13</f>
        <v>6571.829165</v>
      </c>
      <c r="K38" s="93">
        <f>'Assumptions '!$B$106*'Assumptions '!$B$67*K$13</f>
        <v>6571.829165</v>
      </c>
      <c r="L38" s="93">
        <f>'Assumptions '!$B$106*'Assumptions '!$B$67*L$13</f>
        <v>6571.829165</v>
      </c>
      <c r="M38" s="93">
        <f>'Assumptions '!$B$106*'Assumptions '!$B$67*M$13</f>
        <v>6571.829165</v>
      </c>
      <c r="N38" s="93">
        <f>'Assumptions '!$B$106*'Assumptions '!$B$67*N$13</f>
        <v>6571.829165</v>
      </c>
      <c r="O38" s="93">
        <f>'Assumptions '!$B$106*'Assumptions '!$B$67*O$13</f>
        <v>6571.829165</v>
      </c>
      <c r="P38" s="94">
        <f t="shared" si="4"/>
        <v>58160.68811</v>
      </c>
    </row>
    <row r="39" ht="14.25" customHeight="1">
      <c r="A39" s="57"/>
      <c r="B39" s="80" t="s">
        <v>346</v>
      </c>
      <c r="C39" s="93">
        <f>IF(0&gt;=1,'Assumptions '!$B$68*'Assumptions '!$B$60,0)</f>
        <v>0</v>
      </c>
      <c r="D39" s="93">
        <f>IF(1&gt;=1,'Assumptions '!$B$68*'Assumptions '!$B$60,0)</f>
        <v>23400</v>
      </c>
      <c r="E39" s="93">
        <f>IF(2&gt;=1,'Assumptions '!$B$68*'Assumptions '!$B$60,0)</f>
        <v>23400</v>
      </c>
      <c r="F39" s="93">
        <f>IF(3&gt;=1,'Assumptions '!$B$68*'Assumptions '!$B$60,0)</f>
        <v>23400</v>
      </c>
      <c r="G39" s="93">
        <f>IF(4&gt;=1,'Assumptions '!$B$68*'Assumptions '!$B$60,0)</f>
        <v>23400</v>
      </c>
      <c r="H39" s="93">
        <f>IF(5&gt;=1,'Assumptions '!$B$68*'Assumptions '!$B$60,0)</f>
        <v>23400</v>
      </c>
      <c r="I39" s="93">
        <f>IF(6&gt;=1,'Assumptions '!$B$68*'Assumptions '!$B$60,0)</f>
        <v>23400</v>
      </c>
      <c r="J39" s="93">
        <f>IF(7&gt;=1,'Assumptions '!$B$68*'Assumptions '!$B$60,0)</f>
        <v>23400</v>
      </c>
      <c r="K39" s="93">
        <f>IF(8&gt;=1,'Assumptions '!$B$68*'Assumptions '!$B$60,0)</f>
        <v>23400</v>
      </c>
      <c r="L39" s="93">
        <f>IF(9&gt;=1,'Assumptions '!$B$68*'Assumptions '!$B$60,0)</f>
        <v>23400</v>
      </c>
      <c r="M39" s="93">
        <f>IF(10&gt;=1,'Assumptions '!$B$68*'Assumptions '!$B$60,0)</f>
        <v>23400</v>
      </c>
      <c r="N39" s="93">
        <f>IF(11&gt;=1,'Assumptions '!$B$68*'Assumptions '!$B$60,0)</f>
        <v>23400</v>
      </c>
      <c r="O39" s="93">
        <f>IF(12&gt;=1,'Assumptions '!$B$68*'Assumptions '!$B$60,0)</f>
        <v>23400</v>
      </c>
      <c r="P39" s="94">
        <f t="shared" si="4"/>
        <v>280800</v>
      </c>
    </row>
    <row r="40" ht="14.25" customHeight="1">
      <c r="A40" s="57"/>
      <c r="B40" s="80" t="s">
        <v>347</v>
      </c>
      <c r="C40" s="93">
        <v>0.0</v>
      </c>
      <c r="D40" s="93">
        <v>0.0</v>
      </c>
      <c r="E40" s="93">
        <v>0.0</v>
      </c>
      <c r="F40" s="93">
        <v>0.0</v>
      </c>
      <c r="G40" s="93">
        <v>0.0</v>
      </c>
      <c r="H40" s="93">
        <v>0.0</v>
      </c>
      <c r="I40" s="93">
        <v>0.0</v>
      </c>
      <c r="J40" s="93">
        <v>0.0</v>
      </c>
      <c r="K40" s="93">
        <v>0.0</v>
      </c>
      <c r="L40" s="93">
        <v>0.0</v>
      </c>
      <c r="M40" s="93">
        <v>0.0</v>
      </c>
      <c r="N40" s="93">
        <v>0.0</v>
      </c>
      <c r="O40" s="93">
        <f>'Assumptions '!$B$78</f>
        <v>200000</v>
      </c>
      <c r="P40" s="94">
        <f t="shared" si="4"/>
        <v>200000</v>
      </c>
    </row>
    <row r="41" ht="14.25" customHeight="1">
      <c r="A41" s="57"/>
      <c r="B41" s="80" t="s">
        <v>348</v>
      </c>
      <c r="C41" s="93">
        <f>'Assumptions '!$B$79*(SUM(C26:C40)+C51)</f>
        <v>67360</v>
      </c>
      <c r="D41" s="93">
        <f>'Assumptions '!$B$79*(SUM(D26:D40)+D51)</f>
        <v>231267.1264</v>
      </c>
      <c r="E41" s="93">
        <f>'Assumptions '!$B$79*(SUM(E26:E40)+E51)</f>
        <v>231267.1264</v>
      </c>
      <c r="F41" s="93">
        <f>'Assumptions '!$B$79*(SUM(F26:F40)+F51)</f>
        <v>1112535.632</v>
      </c>
      <c r="G41" s="93">
        <f>'Assumptions '!$B$79*(SUM(G26:G40)+G51)</f>
        <v>2214121.264</v>
      </c>
      <c r="H41" s="93">
        <f>'Assumptions '!$B$79*(SUM(H26:H40)+H51)</f>
        <v>4417292.528</v>
      </c>
      <c r="I41" s="93">
        <f>'Assumptions '!$B$79*(SUM(I26:I40)+I51)</f>
        <v>4417292.528</v>
      </c>
      <c r="J41" s="93">
        <f>'Assumptions '!$B$79*(SUM(J26:J40)+J51)</f>
        <v>4417292.528</v>
      </c>
      <c r="K41" s="93">
        <f>'Assumptions '!$B$79*(SUM(K26:K40)+K51)</f>
        <v>4417292.528</v>
      </c>
      <c r="L41" s="93">
        <f>'Assumptions '!$B$79*(SUM(L26:L40)+L51)</f>
        <v>4417292.528</v>
      </c>
      <c r="M41" s="93">
        <f>'Assumptions '!$B$79*(SUM(M26:M40)+M51)</f>
        <v>4417292.528</v>
      </c>
      <c r="N41" s="93">
        <f>'Assumptions '!$B$79*(SUM(N26:N40)+N51)</f>
        <v>4417292.528</v>
      </c>
      <c r="O41" s="93">
        <f>'Assumptions '!$B$79*(SUM(O26:O40)+O51)</f>
        <v>4437292.528</v>
      </c>
      <c r="P41" s="94">
        <f t="shared" si="4"/>
        <v>39214891.37</v>
      </c>
    </row>
    <row r="42" ht="14.25" customHeight="1">
      <c r="A42" s="75"/>
      <c r="B42" s="95" t="s">
        <v>349</v>
      </c>
      <c r="C42" s="96">
        <f t="shared" ref="C42:O42" si="5">SUM(C26:C41)</f>
        <v>67360</v>
      </c>
      <c r="D42" s="96">
        <f t="shared" si="5"/>
        <v>2543938.39</v>
      </c>
      <c r="E42" s="96">
        <f t="shared" si="5"/>
        <v>2543938.39</v>
      </c>
      <c r="F42" s="96">
        <f t="shared" si="5"/>
        <v>12237891.95</v>
      </c>
      <c r="G42" s="96">
        <f t="shared" si="5"/>
        <v>24355333.9</v>
      </c>
      <c r="H42" s="96">
        <f t="shared" si="5"/>
        <v>48590217.81</v>
      </c>
      <c r="I42" s="96">
        <f t="shared" si="5"/>
        <v>48590217.81</v>
      </c>
      <c r="J42" s="96">
        <f t="shared" si="5"/>
        <v>48590217.81</v>
      </c>
      <c r="K42" s="96">
        <f t="shared" si="5"/>
        <v>48590217.81</v>
      </c>
      <c r="L42" s="96">
        <f t="shared" si="5"/>
        <v>48590217.81</v>
      </c>
      <c r="M42" s="96">
        <f t="shared" si="5"/>
        <v>48590217.81</v>
      </c>
      <c r="N42" s="96">
        <f t="shared" si="5"/>
        <v>48590217.81</v>
      </c>
      <c r="O42" s="96">
        <f t="shared" si="5"/>
        <v>48810217.81</v>
      </c>
      <c r="P42" s="96">
        <f t="shared" si="4"/>
        <v>430690205.1</v>
      </c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5.0" customHeight="1">
      <c r="A44" s="76" t="s">
        <v>350</v>
      </c>
      <c r="B44" s="77" t="s">
        <v>351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56"/>
    </row>
    <row r="45" ht="14.25" customHeight="1">
      <c r="A45" s="57"/>
      <c r="B45" s="79" t="s">
        <v>328</v>
      </c>
      <c r="C45" s="79" t="s">
        <v>276</v>
      </c>
      <c r="D45" s="79" t="s">
        <v>8</v>
      </c>
      <c r="E45" s="79" t="s">
        <v>9</v>
      </c>
      <c r="F45" s="79" t="s">
        <v>10</v>
      </c>
      <c r="G45" s="79" t="s">
        <v>11</v>
      </c>
      <c r="H45" s="79" t="s">
        <v>12</v>
      </c>
      <c r="I45" s="79" t="s">
        <v>13</v>
      </c>
      <c r="J45" s="79" t="s">
        <v>14</v>
      </c>
      <c r="K45" s="79" t="s">
        <v>15</v>
      </c>
      <c r="L45" s="79" t="s">
        <v>16</v>
      </c>
      <c r="M45" s="79" t="s">
        <v>17</v>
      </c>
      <c r="N45" s="79" t="s">
        <v>18</v>
      </c>
      <c r="O45" s="79" t="s">
        <v>19</v>
      </c>
      <c r="P45" s="79" t="s">
        <v>277</v>
      </c>
    </row>
    <row r="46" ht="14.25" customHeight="1">
      <c r="A46" s="57"/>
      <c r="B46" s="80" t="s">
        <v>352</v>
      </c>
      <c r="C46" s="93">
        <f>'Assumptions '!$B$55*'Assumptions '!$B$56</f>
        <v>23600</v>
      </c>
      <c r="D46" s="93">
        <v>0.0</v>
      </c>
      <c r="E46" s="93">
        <v>0.0</v>
      </c>
      <c r="F46" s="93">
        <v>0.0</v>
      </c>
      <c r="G46" s="93">
        <v>0.0</v>
      </c>
      <c r="H46" s="93">
        <v>0.0</v>
      </c>
      <c r="I46" s="93">
        <v>0.0</v>
      </c>
      <c r="J46" s="93">
        <v>0.0</v>
      </c>
      <c r="K46" s="93">
        <v>0.0</v>
      </c>
      <c r="L46" s="93">
        <v>0.0</v>
      </c>
      <c r="M46" s="93">
        <v>0.0</v>
      </c>
      <c r="N46" s="93">
        <v>0.0</v>
      </c>
      <c r="O46" s="93">
        <v>0.0</v>
      </c>
      <c r="P46" s="94">
        <f t="shared" ref="P46:P51" si="6">SUM(C46:O46)</f>
        <v>23600</v>
      </c>
    </row>
    <row r="47" ht="14.25" customHeight="1">
      <c r="A47" s="57"/>
      <c r="B47" s="80" t="s">
        <v>353</v>
      </c>
      <c r="C47" s="93">
        <f>'Assumptions '!$B$49</f>
        <v>50000</v>
      </c>
      <c r="D47" s="93">
        <v>0.0</v>
      </c>
      <c r="E47" s="93">
        <v>0.0</v>
      </c>
      <c r="F47" s="93">
        <v>0.0</v>
      </c>
      <c r="G47" s="93">
        <v>0.0</v>
      </c>
      <c r="H47" s="93">
        <v>0.0</v>
      </c>
      <c r="I47" s="93">
        <v>0.0</v>
      </c>
      <c r="J47" s="93">
        <v>0.0</v>
      </c>
      <c r="K47" s="93">
        <v>0.0</v>
      </c>
      <c r="L47" s="93">
        <v>0.0</v>
      </c>
      <c r="M47" s="93">
        <v>0.0</v>
      </c>
      <c r="N47" s="93">
        <v>0.0</v>
      </c>
      <c r="O47" s="93">
        <v>0.0</v>
      </c>
      <c r="P47" s="94">
        <f t="shared" si="6"/>
        <v>50000</v>
      </c>
    </row>
    <row r="48" ht="14.25" customHeight="1">
      <c r="A48" s="57"/>
      <c r="B48" s="80" t="s">
        <v>330</v>
      </c>
      <c r="C48" s="93">
        <f>'Assumptions '!$B$74*'Assumptions '!$B$75</f>
        <v>50000</v>
      </c>
      <c r="D48" s="93">
        <v>0.0</v>
      </c>
      <c r="E48" s="93">
        <v>0.0</v>
      </c>
      <c r="F48" s="93">
        <v>0.0</v>
      </c>
      <c r="G48" s="93">
        <v>0.0</v>
      </c>
      <c r="H48" s="93">
        <v>0.0</v>
      </c>
      <c r="I48" s="93">
        <v>0.0</v>
      </c>
      <c r="J48" s="93">
        <v>0.0</v>
      </c>
      <c r="K48" s="93">
        <v>0.0</v>
      </c>
      <c r="L48" s="93">
        <v>0.0</v>
      </c>
      <c r="M48" s="93">
        <v>0.0</v>
      </c>
      <c r="N48" s="93">
        <v>0.0</v>
      </c>
      <c r="O48" s="93">
        <v>0.0</v>
      </c>
      <c r="P48" s="94">
        <f t="shared" si="6"/>
        <v>50000</v>
      </c>
    </row>
    <row r="49" ht="14.25" customHeight="1">
      <c r="A49" s="57"/>
      <c r="B49" s="80" t="s">
        <v>354</v>
      </c>
      <c r="C49" s="93">
        <f>'Assumptions '!$B$76</f>
        <v>500000</v>
      </c>
      <c r="D49" s="93">
        <v>0.0</v>
      </c>
      <c r="E49" s="93">
        <v>0.0</v>
      </c>
      <c r="F49" s="93">
        <v>0.0</v>
      </c>
      <c r="G49" s="93">
        <v>0.0</v>
      </c>
      <c r="H49" s="93">
        <v>0.0</v>
      </c>
      <c r="I49" s="93">
        <v>0.0</v>
      </c>
      <c r="J49" s="93">
        <v>0.0</v>
      </c>
      <c r="K49" s="93">
        <v>0.0</v>
      </c>
      <c r="L49" s="93">
        <v>0.0</v>
      </c>
      <c r="M49" s="93">
        <v>0.0</v>
      </c>
      <c r="N49" s="93">
        <v>0.0</v>
      </c>
      <c r="O49" s="93">
        <v>0.0</v>
      </c>
      <c r="P49" s="94">
        <f t="shared" si="6"/>
        <v>500000</v>
      </c>
    </row>
    <row r="50" ht="14.25" customHeight="1">
      <c r="A50" s="57"/>
      <c r="B50" s="80" t="s">
        <v>160</v>
      </c>
      <c r="C50" s="93">
        <f>'Assumptions '!$B$77</f>
        <v>50000</v>
      </c>
      <c r="D50" s="93">
        <v>0.0</v>
      </c>
      <c r="E50" s="93">
        <v>0.0</v>
      </c>
      <c r="F50" s="93">
        <v>0.0</v>
      </c>
      <c r="G50" s="93">
        <v>0.0</v>
      </c>
      <c r="H50" s="93">
        <v>0.0</v>
      </c>
      <c r="I50" s="93">
        <v>0.0</v>
      </c>
      <c r="J50" s="93">
        <v>0.0</v>
      </c>
      <c r="K50" s="93">
        <v>0.0</v>
      </c>
      <c r="L50" s="93">
        <v>0.0</v>
      </c>
      <c r="M50" s="93">
        <v>0.0</v>
      </c>
      <c r="N50" s="93">
        <v>0.0</v>
      </c>
      <c r="O50" s="93">
        <v>0.0</v>
      </c>
      <c r="P50" s="94">
        <f t="shared" si="6"/>
        <v>50000</v>
      </c>
    </row>
    <row r="51" ht="14.25" customHeight="1">
      <c r="A51" s="75"/>
      <c r="B51" s="95" t="s">
        <v>355</v>
      </c>
      <c r="C51" s="96">
        <f t="shared" ref="C51:O51" si="7">SUM(C46:C50)</f>
        <v>673600</v>
      </c>
      <c r="D51" s="96">
        <f t="shared" si="7"/>
        <v>0</v>
      </c>
      <c r="E51" s="96">
        <f t="shared" si="7"/>
        <v>0</v>
      </c>
      <c r="F51" s="96">
        <f t="shared" si="7"/>
        <v>0</v>
      </c>
      <c r="G51" s="96">
        <f t="shared" si="7"/>
        <v>0</v>
      </c>
      <c r="H51" s="96">
        <f t="shared" si="7"/>
        <v>0</v>
      </c>
      <c r="I51" s="96">
        <f t="shared" si="7"/>
        <v>0</v>
      </c>
      <c r="J51" s="96">
        <f t="shared" si="7"/>
        <v>0</v>
      </c>
      <c r="K51" s="96">
        <f t="shared" si="7"/>
        <v>0</v>
      </c>
      <c r="L51" s="96">
        <f t="shared" si="7"/>
        <v>0</v>
      </c>
      <c r="M51" s="96">
        <f t="shared" si="7"/>
        <v>0</v>
      </c>
      <c r="N51" s="96">
        <f t="shared" si="7"/>
        <v>0</v>
      </c>
      <c r="O51" s="96">
        <f t="shared" si="7"/>
        <v>0</v>
      </c>
      <c r="P51" s="96">
        <f t="shared" si="6"/>
        <v>673600</v>
      </c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5.0" customHeight="1">
      <c r="A53" s="76" t="s">
        <v>356</v>
      </c>
      <c r="B53" s="77" t="s">
        <v>357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56"/>
    </row>
    <row r="54" ht="14.25" customHeight="1">
      <c r="A54" s="57"/>
      <c r="B54" s="79" t="s">
        <v>6</v>
      </c>
      <c r="C54" s="79" t="s">
        <v>276</v>
      </c>
      <c r="D54" s="79" t="s">
        <v>8</v>
      </c>
      <c r="E54" s="79" t="s">
        <v>9</v>
      </c>
      <c r="F54" s="79" t="s">
        <v>10</v>
      </c>
      <c r="G54" s="79" t="s">
        <v>11</v>
      </c>
      <c r="H54" s="79" t="s">
        <v>12</v>
      </c>
      <c r="I54" s="79" t="s">
        <v>13</v>
      </c>
      <c r="J54" s="79" t="s">
        <v>14</v>
      </c>
      <c r="K54" s="79" t="s">
        <v>15</v>
      </c>
      <c r="L54" s="79" t="s">
        <v>16</v>
      </c>
      <c r="M54" s="79" t="s">
        <v>17</v>
      </c>
      <c r="N54" s="79" t="s">
        <v>18</v>
      </c>
      <c r="O54" s="79" t="s">
        <v>19</v>
      </c>
      <c r="P54" s="79" t="s">
        <v>277</v>
      </c>
    </row>
    <row r="55" ht="14.25" customHeight="1">
      <c r="A55" s="57"/>
      <c r="B55" s="80" t="s">
        <v>358</v>
      </c>
      <c r="C55" s="93">
        <f t="shared" ref="C55:O55" si="8">C22</f>
        <v>0</v>
      </c>
      <c r="D55" s="93">
        <f t="shared" si="8"/>
        <v>9600433.244</v>
      </c>
      <c r="E55" s="93">
        <f t="shared" si="8"/>
        <v>16766306.86</v>
      </c>
      <c r="F55" s="93">
        <f t="shared" si="8"/>
        <v>55168039.84</v>
      </c>
      <c r="G55" s="93">
        <f t="shared" si="8"/>
        <v>131833700.5</v>
      </c>
      <c r="H55" s="93">
        <f t="shared" si="8"/>
        <v>263667401.1</v>
      </c>
      <c r="I55" s="93">
        <f t="shared" si="8"/>
        <v>335326137.2</v>
      </c>
      <c r="J55" s="93">
        <f t="shared" si="8"/>
        <v>335326137.2</v>
      </c>
      <c r="K55" s="93">
        <f t="shared" si="8"/>
        <v>335326137.2</v>
      </c>
      <c r="L55" s="93">
        <f t="shared" si="8"/>
        <v>335326137.2</v>
      </c>
      <c r="M55" s="93">
        <f t="shared" si="8"/>
        <v>335326137.2</v>
      </c>
      <c r="N55" s="93">
        <f t="shared" si="8"/>
        <v>335326137.2</v>
      </c>
      <c r="O55" s="93">
        <f t="shared" si="8"/>
        <v>335326137.2</v>
      </c>
      <c r="P55" s="94">
        <f t="shared" ref="P55:P57" si="10">SUM(C55:O55)</f>
        <v>2824318842</v>
      </c>
    </row>
    <row r="56" ht="14.25" customHeight="1">
      <c r="A56" s="57"/>
      <c r="B56" s="80" t="s">
        <v>359</v>
      </c>
      <c r="C56" s="93">
        <f t="shared" ref="C56:O56" si="9">C42+C51</f>
        <v>740960</v>
      </c>
      <c r="D56" s="93">
        <f t="shared" si="9"/>
        <v>2543938.39</v>
      </c>
      <c r="E56" s="93">
        <f t="shared" si="9"/>
        <v>2543938.39</v>
      </c>
      <c r="F56" s="93">
        <f t="shared" si="9"/>
        <v>12237891.95</v>
      </c>
      <c r="G56" s="93">
        <f t="shared" si="9"/>
        <v>24355333.9</v>
      </c>
      <c r="H56" s="93">
        <f t="shared" si="9"/>
        <v>48590217.81</v>
      </c>
      <c r="I56" s="93">
        <f t="shared" si="9"/>
        <v>48590217.81</v>
      </c>
      <c r="J56" s="93">
        <f t="shared" si="9"/>
        <v>48590217.81</v>
      </c>
      <c r="K56" s="93">
        <f t="shared" si="9"/>
        <v>48590217.81</v>
      </c>
      <c r="L56" s="93">
        <f t="shared" si="9"/>
        <v>48590217.81</v>
      </c>
      <c r="M56" s="93">
        <f t="shared" si="9"/>
        <v>48590217.81</v>
      </c>
      <c r="N56" s="93">
        <f t="shared" si="9"/>
        <v>48590217.81</v>
      </c>
      <c r="O56" s="93">
        <f t="shared" si="9"/>
        <v>48810217.81</v>
      </c>
      <c r="P56" s="94">
        <f t="shared" si="10"/>
        <v>431363805.1</v>
      </c>
    </row>
    <row r="57" ht="14.25" customHeight="1">
      <c r="A57" s="57"/>
      <c r="B57" s="95" t="s">
        <v>360</v>
      </c>
      <c r="C57" s="96">
        <f t="shared" ref="C57:O57" si="11">C55-C56</f>
        <v>-740960</v>
      </c>
      <c r="D57" s="96">
        <f t="shared" si="11"/>
        <v>7056494.854</v>
      </c>
      <c r="E57" s="96">
        <f t="shared" si="11"/>
        <v>14222368.47</v>
      </c>
      <c r="F57" s="96">
        <f t="shared" si="11"/>
        <v>42930147.89</v>
      </c>
      <c r="G57" s="96">
        <f t="shared" si="11"/>
        <v>107478366.6</v>
      </c>
      <c r="H57" s="96">
        <f t="shared" si="11"/>
        <v>215077183.2</v>
      </c>
      <c r="I57" s="96">
        <f t="shared" si="11"/>
        <v>286735919.4</v>
      </c>
      <c r="J57" s="96">
        <f t="shared" si="11"/>
        <v>286735919.4</v>
      </c>
      <c r="K57" s="96">
        <f t="shared" si="11"/>
        <v>286735919.4</v>
      </c>
      <c r="L57" s="96">
        <f t="shared" si="11"/>
        <v>286735919.4</v>
      </c>
      <c r="M57" s="96">
        <f t="shared" si="11"/>
        <v>286735919.4</v>
      </c>
      <c r="N57" s="96">
        <f t="shared" si="11"/>
        <v>286735919.4</v>
      </c>
      <c r="O57" s="96">
        <f t="shared" si="11"/>
        <v>286515919.4</v>
      </c>
      <c r="P57" s="96">
        <f t="shared" si="10"/>
        <v>2392955037</v>
      </c>
    </row>
    <row r="58" ht="14.25" customHeight="1">
      <c r="A58" s="57"/>
      <c r="B58" s="80" t="s">
        <v>361</v>
      </c>
      <c r="C58" s="93">
        <f>C57</f>
        <v>-740960</v>
      </c>
      <c r="D58" s="93">
        <f t="shared" ref="D58:O58" si="12">C58+D57</f>
        <v>6315534.854</v>
      </c>
      <c r="E58" s="93">
        <f t="shared" si="12"/>
        <v>20537903.32</v>
      </c>
      <c r="F58" s="93">
        <f t="shared" si="12"/>
        <v>63468051.21</v>
      </c>
      <c r="G58" s="93">
        <f t="shared" si="12"/>
        <v>170946417.8</v>
      </c>
      <c r="H58" s="93">
        <f t="shared" si="12"/>
        <v>386023601.1</v>
      </c>
      <c r="I58" s="93">
        <f t="shared" si="12"/>
        <v>672759520.5</v>
      </c>
      <c r="J58" s="93">
        <f t="shared" si="12"/>
        <v>959495439.9</v>
      </c>
      <c r="K58" s="93">
        <f t="shared" si="12"/>
        <v>1246231359</v>
      </c>
      <c r="L58" s="93">
        <f t="shared" si="12"/>
        <v>1532967279</v>
      </c>
      <c r="M58" s="93">
        <f t="shared" si="12"/>
        <v>1819703198</v>
      </c>
      <c r="N58" s="93">
        <f t="shared" si="12"/>
        <v>2106439118</v>
      </c>
      <c r="O58" s="93">
        <f t="shared" si="12"/>
        <v>2392955037</v>
      </c>
      <c r="P58" s="94">
        <f>O58</f>
        <v>2392955037</v>
      </c>
    </row>
    <row r="59" ht="14.25" customHeight="1">
      <c r="A59" s="75"/>
      <c r="B59" s="80" t="s">
        <v>362</v>
      </c>
      <c r="C59" s="97" t="str">
        <f t="shared" ref="C59:O59" si="13">IF(C58&gt;=0,"Yes","No")</f>
        <v>No</v>
      </c>
      <c r="D59" s="97" t="str">
        <f t="shared" si="13"/>
        <v>Yes</v>
      </c>
      <c r="E59" s="97" t="str">
        <f t="shared" si="13"/>
        <v>Yes</v>
      </c>
      <c r="F59" s="97" t="str">
        <f t="shared" si="13"/>
        <v>Yes</v>
      </c>
      <c r="G59" s="97" t="str">
        <f t="shared" si="13"/>
        <v>Yes</v>
      </c>
      <c r="H59" s="97" t="str">
        <f t="shared" si="13"/>
        <v>Yes</v>
      </c>
      <c r="I59" s="97" t="str">
        <f t="shared" si="13"/>
        <v>Yes</v>
      </c>
      <c r="J59" s="97" t="str">
        <f t="shared" si="13"/>
        <v>Yes</v>
      </c>
      <c r="K59" s="97" t="str">
        <f t="shared" si="13"/>
        <v>Yes</v>
      </c>
      <c r="L59" s="97" t="str">
        <f t="shared" si="13"/>
        <v>Yes</v>
      </c>
      <c r="M59" s="97" t="str">
        <f t="shared" si="13"/>
        <v>Yes</v>
      </c>
      <c r="N59" s="97" t="str">
        <f t="shared" si="13"/>
        <v>Yes</v>
      </c>
      <c r="O59" s="97" t="str">
        <f t="shared" si="13"/>
        <v>Yes</v>
      </c>
      <c r="P59" s="98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C8:D9"/>
    <mergeCell ref="E8:F9"/>
    <mergeCell ref="A11:A14"/>
    <mergeCell ref="A16:A22"/>
    <mergeCell ref="A24:A42"/>
    <mergeCell ref="A44:A51"/>
    <mergeCell ref="A53:A59"/>
    <mergeCell ref="G8:H9"/>
    <mergeCell ref="I8:J9"/>
    <mergeCell ref="K8:L9"/>
    <mergeCell ref="M8:N9"/>
    <mergeCell ref="B11:P11"/>
    <mergeCell ref="B16:P16"/>
    <mergeCell ref="B24:P24"/>
    <mergeCell ref="B44:P44"/>
    <mergeCell ref="B53:P53"/>
    <mergeCell ref="A1:P1"/>
    <mergeCell ref="A2:P2"/>
    <mergeCell ref="B4:B9"/>
    <mergeCell ref="C4:D4"/>
    <mergeCell ref="E4:F4"/>
    <mergeCell ref="G4:H4"/>
    <mergeCell ref="I4:J4"/>
    <mergeCell ref="K4:L4"/>
    <mergeCell ref="M4:N4"/>
    <mergeCell ref="C5:D6"/>
    <mergeCell ref="E5:F6"/>
    <mergeCell ref="G5:H6"/>
    <mergeCell ref="I5:J6"/>
    <mergeCell ref="K5:L6"/>
    <mergeCell ref="M5:N6"/>
    <mergeCell ref="C7:D7"/>
    <mergeCell ref="E7:F7"/>
    <mergeCell ref="G7:H7"/>
    <mergeCell ref="I7:J7"/>
    <mergeCell ref="K7:L7"/>
    <mergeCell ref="M7:N7"/>
  </mergeCells>
  <conditionalFormatting sqref="C59:O59">
    <cfRule type="expression" dxfId="0" priority="1">
      <formula>C59="Yes"</formula>
    </cfRule>
  </conditionalFormatting>
  <conditionalFormatting sqref="C59:O59">
    <cfRule type="expression" dxfId="1" priority="2">
      <formula>C59="No"</formula>
    </cfRule>
  </conditionalFormatting>
  <conditionalFormatting sqref="C57:P58">
    <cfRule type="expression" dxfId="1" priority="3">
      <formula>C57&lt;0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0"/>
    <col customWidth="1" min="4" max="4" width="94.63"/>
  </cols>
  <sheetData>
    <row r="1">
      <c r="A1" s="64" t="s">
        <v>250</v>
      </c>
      <c r="B1" s="64" t="s">
        <v>253</v>
      </c>
      <c r="C1" s="64" t="s">
        <v>254</v>
      </c>
      <c r="D1" s="64" t="s">
        <v>256</v>
      </c>
    </row>
    <row r="2">
      <c r="A2" s="65" t="s">
        <v>258</v>
      </c>
      <c r="B2" s="66" t="s">
        <v>260</v>
      </c>
      <c r="C2" s="66" t="s">
        <v>260</v>
      </c>
      <c r="D2" s="65" t="s">
        <v>262</v>
      </c>
    </row>
    <row r="3">
      <c r="A3" s="65" t="s">
        <v>263</v>
      </c>
      <c r="B3" s="66" t="s">
        <v>260</v>
      </c>
      <c r="C3" s="67" t="s">
        <v>264</v>
      </c>
      <c r="D3" s="65" t="s">
        <v>265</v>
      </c>
    </row>
    <row r="4">
      <c r="A4" s="68" t="s">
        <v>266</v>
      </c>
      <c r="B4" s="66" t="s">
        <v>260</v>
      </c>
      <c r="C4" s="67" t="s">
        <v>264</v>
      </c>
      <c r="D4" s="68" t="s">
        <v>267</v>
      </c>
    </row>
    <row r="5">
      <c r="A5" s="65" t="s">
        <v>269</v>
      </c>
      <c r="B5" s="66" t="s">
        <v>260</v>
      </c>
      <c r="C5" s="67" t="s">
        <v>264</v>
      </c>
      <c r="D5" s="65" t="s">
        <v>270</v>
      </c>
    </row>
    <row r="6">
      <c r="A6" s="65" t="s">
        <v>271</v>
      </c>
      <c r="B6" s="66" t="s">
        <v>260</v>
      </c>
      <c r="C6" s="71" t="s">
        <v>272</v>
      </c>
      <c r="D6" s="65" t="s">
        <v>273</v>
      </c>
    </row>
    <row r="9">
      <c r="D9" s="72"/>
      <c r="E9" s="72"/>
    </row>
    <row r="10">
      <c r="D10" s="72"/>
      <c r="E10" s="72"/>
    </row>
    <row r="11">
      <c r="D11" s="72"/>
      <c r="E11" s="72"/>
    </row>
    <row r="12">
      <c r="D12" s="72"/>
      <c r="E12" s="72"/>
    </row>
    <row r="13">
      <c r="D13" s="72"/>
      <c r="E13" s="72"/>
    </row>
    <row r="14">
      <c r="D14" s="72"/>
      <c r="E14" s="7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66.88"/>
    <col customWidth="1" min="3" max="3" width="69.25"/>
  </cols>
  <sheetData>
    <row r="1">
      <c r="A1" s="82" t="s">
        <v>281</v>
      </c>
      <c r="B1" s="82" t="s">
        <v>282</v>
      </c>
      <c r="C1" s="82" t="s">
        <v>283</v>
      </c>
    </row>
    <row r="2">
      <c r="A2" s="83" t="s">
        <v>284</v>
      </c>
      <c r="B2" s="83" t="s">
        <v>285</v>
      </c>
      <c r="C2" s="83" t="s">
        <v>286</v>
      </c>
    </row>
    <row r="3">
      <c r="A3" s="84" t="s">
        <v>287</v>
      </c>
      <c r="B3" s="82" t="s">
        <v>288</v>
      </c>
      <c r="C3" s="82" t="s">
        <v>289</v>
      </c>
    </row>
    <row r="4">
      <c r="A4" s="84" t="s">
        <v>290</v>
      </c>
      <c r="B4" s="82" t="s">
        <v>291</v>
      </c>
      <c r="C4" s="82" t="s">
        <v>292</v>
      </c>
    </row>
    <row r="5">
      <c r="A5" s="85" t="s">
        <v>293</v>
      </c>
      <c r="B5" s="86" t="s">
        <v>294</v>
      </c>
      <c r="C5" s="83" t="s">
        <v>295</v>
      </c>
    </row>
    <row r="6">
      <c r="A6" s="82" t="s">
        <v>296</v>
      </c>
      <c r="B6" s="82" t="s">
        <v>297</v>
      </c>
      <c r="C6" s="82" t="s">
        <v>298</v>
      </c>
    </row>
    <row r="7">
      <c r="A7" s="84" t="s">
        <v>299</v>
      </c>
      <c r="B7" s="82" t="s">
        <v>300</v>
      </c>
      <c r="C7" s="82" t="s">
        <v>301</v>
      </c>
    </row>
    <row r="8">
      <c r="A8" s="84" t="s">
        <v>302</v>
      </c>
      <c r="B8" s="82" t="s">
        <v>303</v>
      </c>
      <c r="C8" s="82" t="s">
        <v>304</v>
      </c>
    </row>
    <row r="9">
      <c r="A9" s="84" t="s">
        <v>305</v>
      </c>
      <c r="B9" s="82" t="s">
        <v>306</v>
      </c>
      <c r="C9" s="82" t="s">
        <v>307</v>
      </c>
    </row>
    <row r="10">
      <c r="A10" s="84" t="s">
        <v>308</v>
      </c>
      <c r="B10" s="82" t="s">
        <v>309</v>
      </c>
      <c r="C10" s="82" t="s">
        <v>310</v>
      </c>
    </row>
    <row r="50">
      <c r="A50" s="72"/>
      <c r="B50" s="72"/>
      <c r="C50" s="72"/>
    </row>
  </sheetData>
  <drawing r:id="rId1"/>
</worksheet>
</file>