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Money Saved" sheetId="2" r:id="rId6"/>
    <sheet state="visible" name="Costs" sheetId="3" r:id="rId7"/>
    <sheet state="visible" name="Payback" sheetId="4" r:id="rId8"/>
    <sheet state="visible" name="Year 1 Monthly" sheetId="5" r:id="rId9"/>
    <sheet state="visible" name="Kirana Earnings" sheetId="6" r:id="rId10"/>
  </sheets>
  <definedNames/>
  <calcPr/>
</workbook>
</file>

<file path=xl/sharedStrings.xml><?xml version="1.0" encoding="utf-8"?>
<sst xmlns="http://schemas.openxmlformats.org/spreadsheetml/2006/main" count="471" uniqueCount="276">
  <si>
    <t>Assumptions</t>
  </si>
  <si>
    <t>Parameter</t>
  </si>
  <si>
    <t>Value</t>
  </si>
  <si>
    <t>Unit</t>
  </si>
  <si>
    <t>Link</t>
  </si>
  <si>
    <t>1. Volume and base economics</t>
  </si>
  <si>
    <t>Valmo orders per day</t>
  </si>
  <si>
    <t>orders/day</t>
  </si>
  <si>
    <t>Open source ↗</t>
  </si>
  <si>
    <t>Annual growth in Valmo orders (years 2-10)</t>
  </si>
  <si>
    <t>%</t>
  </si>
  <si>
    <t>Average order value (AOV)</t>
  </si>
  <si>
    <t>₹/order</t>
  </si>
  <si>
    <t>COD share of orders</t>
  </si>
  <si>
    <t>RTO rate on COD orders (door delivery)</t>
  </si>
  <si>
    <t>RTO rate on prepaid orders (door delivery)</t>
  </si>
  <si>
    <t>Blended RTO rate at the door</t>
  </si>
  <si>
    <t>Last-mile cost per door delivery</t>
  </si>
  <si>
    <t>₹/parcel</t>
  </si>
  <si>
    <t>Reverse logistics cost per RTO</t>
  </si>
  <si>
    <t>₹/RTO</t>
  </si>
  <si>
    <t>Days per year</t>
  </si>
  <si>
    <t>days</t>
  </si>
  <si>
    <t>2. Kirana pickup plan (team inputs, used as given)</t>
  </si>
  <si>
    <t>Valmo hub cost per parcel (part of the ₹21)</t>
  </si>
  <si>
    <t>Rider pay per parcel dropped at a kirana</t>
  </si>
  <si>
    <t>Kirana pay per parcel handed over</t>
  </si>
  <si>
    <t>Last-mile saving per collected parcel</t>
  </si>
  <si>
    <t>Discount on a customer's 1st pickup order</t>
  </si>
  <si>
    <t>% of AOV</t>
  </si>
  <si>
    <t>Give a discount on the 2nd pickup order too?</t>
  </si>
  <si>
    <t>Yes</t>
  </si>
  <si>
    <t>Yes / No</t>
  </si>
  <si>
    <t>Discount on a customer's 2nd pickup order</t>
  </si>
  <si>
    <t>Years the pickup discounts run</t>
  </si>
  <si>
    <t>years (1-10)</t>
  </si>
  <si>
    <t>Festive surge to kirana (Oct and Nov)</t>
  </si>
  <si>
    <t>Hold period at the kirana before RTO</t>
  </si>
  <si>
    <t>Kirana refundable deposit (memo, not a cost)</t>
  </si>
  <si>
    <t>₹/kirana</t>
  </si>
  <si>
    <t>Wrong-address share of all RTOs</t>
  </si>
  <si>
    <t>Share of wrong-address RTOs solved - month 1</t>
  </si>
  <si>
    <t>Share of wrong-address RTOs solved - month 60</t>
  </si>
  <si>
    <t>Months over which the share rises</t>
  </si>
  <si>
    <t>months</t>
  </si>
  <si>
    <t>Share solved in years 6-10</t>
  </si>
  <si>
    <t>3. Re-basing benchmarks to Meesho's customers (Tier 3/4, COD-heavy, low AOV)</t>
  </si>
  <si>
    <t>Tier-3-and-below share of orders, general e-commerce</t>
  </si>
  <si>
    <t>Tier-3-and-below share of Meesho orders</t>
  </si>
  <si>
    <t>Small-town vs city messaging reach ratio</t>
  </si>
  <si>
    <t>x</t>
  </si>
  <si>
    <t>Messaging re-basing factor for Meesho</t>
  </si>
  <si>
    <t>Indian shoppers who prefer delivery to a pickup point or locker</t>
  </si>
  <si>
    <t>Pickup adoption among Meesho orders offered pickup</t>
  </si>
  <si>
    <t>Share of pickup parcels collected (India benchmark)</t>
  </si>
  <si>
    <t>Share of pickup parcels collected (Meesho)</t>
  </si>
  <si>
    <t>Orders per Meesho customer per year</t>
  </si>
  <si>
    <t>orders/yr</t>
  </si>
  <si>
    <t>Annual churn of pickup customers</t>
  </si>
  <si>
    <t>Parcels one kirana handles per day</t>
  </si>
  <si>
    <t>parcels/day</t>
  </si>
  <si>
    <t>4. Coverage rollout (share of Valmo orders with a Meesho kirana nearby)</t>
  </si>
  <si>
    <t>Pilot months</t>
  </si>
  <si>
    <t>Coverage during the pilot</t>
  </si>
  <si>
    <t>Coverage at M12 (end of year 1)</t>
  </si>
  <si>
    <t>Coverage - year 2</t>
  </si>
  <si>
    <t>Coverage - year 3</t>
  </si>
  <si>
    <t>Coverage - year 4</t>
  </si>
  <si>
    <t>Coverage - years 5-10</t>
  </si>
  <si>
    <t>5. Running cost prices</t>
  </si>
  <si>
    <t>WhatsApp utility message (Meta rate, India)</t>
  </si>
  <si>
    <t>₹/msg</t>
  </si>
  <si>
    <t>WhatsApp messages per pickup parcel</t>
  </si>
  <si>
    <t>msgs</t>
  </si>
  <si>
    <t>WhatsApp service-provider (BSP) markup</t>
  </si>
  <si>
    <t>% of Meta rate</t>
  </si>
  <si>
    <t>Transactional SMS (OTP)</t>
  </si>
  <si>
    <t>₹/SMS</t>
  </si>
  <si>
    <t>Payment cost at the counter (UPI)</t>
  </si>
  <si>
    <t>Pickup orders that contact customer support</t>
  </si>
  <si>
    <t>Cost per customer-support contact</t>
  </si>
  <si>
    <t>₹/contact</t>
  </si>
  <si>
    <t>Handover photo size</t>
  </si>
  <si>
    <t>KB/photo</t>
  </si>
  <si>
    <t>Photo retention</t>
  </si>
  <si>
    <t>Cloud storage price (S3 Standard, Mumbai)</t>
  </si>
  <si>
    <t>₹/GB/month</t>
  </si>
  <si>
    <t>Contingency on non-contract costs</t>
  </si>
  <si>
    <t>6. One-time investment (paid at M0) and per-kirana setup</t>
  </si>
  <si>
    <t>Tech build: kirana mode, numbered labels, OTP reveal, photo upload, checkout option</t>
  </si>
  <si>
    <t>₹ one-time</t>
  </si>
  <si>
    <t>App / message languages</t>
  </si>
  <si>
    <t>languages</t>
  </si>
  <si>
    <t>Kirana training + message translation per language</t>
  </si>
  <si>
    <t>₹/language</t>
  </si>
  <si>
    <t>Legal: kirana partner agreement, DPDP consent for photos</t>
  </si>
  <si>
    <t>Onboarding per kirana (signage, rack, bags, training visit)</t>
  </si>
  <si>
    <t>7. Derived per parcel (formulas, do not edit)</t>
  </si>
  <si>
    <t>Messaging cost per pickup parcel</t>
  </si>
  <si>
    <t>Wrong-address RTOs avoided per pickup parcel at 100% solved</t>
  </si>
  <si>
    <t>RTOs/parcel</t>
  </si>
  <si>
    <t>Orders per customer per month</t>
  </si>
  <si>
    <t>orders/mo</t>
  </si>
  <si>
    <t>Monthly churn of pickup customers</t>
  </si>
  <si>
    <t>Total Money Saved</t>
  </si>
  <si>
    <t>Avenues</t>
  </si>
  <si>
    <t>Year-1</t>
  </si>
  <si>
    <t>Year-2</t>
  </si>
  <si>
    <t>Year-3</t>
  </si>
  <si>
    <t>Year-4</t>
  </si>
  <si>
    <t>Year-5</t>
  </si>
  <si>
    <t>Year-6</t>
  </si>
  <si>
    <t>Year-7</t>
  </si>
  <si>
    <t>Year-8</t>
  </si>
  <si>
    <t>Year-9</t>
  </si>
  <si>
    <t>Year-10</t>
  </si>
  <si>
    <t>10-Year Total</t>
  </si>
  <si>
    <t>Door last-mile cost not paid (₹21 per collected parcel)</t>
  </si>
  <si>
    <t>Wrong-address RTO cost avoided (₹120 each)</t>
  </si>
  <si>
    <t>Drivers</t>
  </si>
  <si>
    <t>Year</t>
  </si>
  <si>
    <t>Coverage: share of Valmo orders with a kirana nearby (year end)</t>
  </si>
  <si>
    <t>Parcels collected at kiranas in the year</t>
  </si>
  <si>
    <t>Share of wrong-address RTOs solved (year average)</t>
  </si>
  <si>
    <t>Wrong-address RTOs avoided (orders)</t>
  </si>
  <si>
    <t>Parcels dropped at kiranas per day (year average)</t>
  </si>
  <si>
    <t>Total Costs</t>
  </si>
  <si>
    <t>Components</t>
  </si>
  <si>
    <t>Valmo hub: ₹7 per collected parcel</t>
  </si>
  <si>
    <t>Rider pay: ₹6 per parcel dropped</t>
  </si>
  <si>
    <t>Kirana pay: ₹7 per parcel handed over</t>
  </si>
  <si>
    <t>Discount on 1st pickup order</t>
  </si>
  <si>
    <t>Discount on 2nd pickup order</t>
  </si>
  <si>
    <t>Festive surge to kiranas (Oct-Nov)</t>
  </si>
  <si>
    <t>Messaging (WhatsApp + OTP SMS)</t>
  </si>
  <si>
    <t>Customer support + UPI cost + photo storage</t>
  </si>
  <si>
    <t>Kirana onboarding</t>
  </si>
  <si>
    <t>Contingency (10% of discount to onboarding)</t>
  </si>
  <si>
    <t>One-time investment (tech, training, legal at M0)</t>
  </si>
  <si>
    <t>Kiranas and customers (drivers of the cost lines)</t>
  </si>
  <si>
    <t>Kiranas live (year end)</t>
  </si>
  <si>
    <t>Kiranas added in the year</t>
  </si>
  <si>
    <t>Deposits held (memo, refundable, not a cost)</t>
  </si>
  <si>
    <t>Active pickup customers (year end)</t>
  </si>
  <si>
    <t>New pickup customers (get the 1st-order discount while discounts run)</t>
  </si>
  <si>
    <t>Customers getting the 2nd-order discount</t>
  </si>
  <si>
    <t>Net Money Saved</t>
  </si>
  <si>
    <t>Cumulative net money saved</t>
  </si>
  <si>
    <t>Investment paid back?</t>
  </si>
  <si>
    <t>Money saved per ₹1 spent</t>
  </si>
  <si>
    <t>Payback point (years from launch)</t>
  </si>
  <si>
    <t>Payback Summary</t>
  </si>
  <si>
    <t>2nd-order discount on?</t>
  </si>
  <si>
    <t>Years the discounts run</t>
  </si>
  <si>
    <t>Upfront investment (M0)</t>
  </si>
  <si>
    <t>Payback period (years)</t>
  </si>
  <si>
    <t>Payback month</t>
  </si>
  <si>
    <t>Peak cash outlay before payback</t>
  </si>
  <si>
    <t>Total discount paid in Year-1</t>
  </si>
  <si>
    <t>Total discount paid over 10 years</t>
  </si>
  <si>
    <t>Year-1 net money saved</t>
  </si>
  <si>
    <t>10-year net money saved</t>
  </si>
  <si>
    <t>Money saved per ₹1 spent (10 years)</t>
  </si>
  <si>
    <t>Discount Payback (orders to earn back the discount, Year-10 steady state)</t>
  </si>
  <si>
    <t>Saving per pickup order before discounts</t>
  </si>
  <si>
    <t>Discount given per customer (incl. contingency)</t>
  </si>
  <si>
    <t>Discount Payback (orders)</t>
  </si>
  <si>
    <t>Discount Payback (months for a typical customer)</t>
  </si>
  <si>
    <t>Year 1 Month by Month (M0 build, pilot from M1)</t>
  </si>
  <si>
    <t>Rollout</t>
  </si>
  <si>
    <t>Month</t>
  </si>
  <si>
    <t>M0
Setup</t>
  </si>
  <si>
    <t>M1
Jan 2027</t>
  </si>
  <si>
    <t>M2
Feb 2027</t>
  </si>
  <si>
    <t>M3
Mar 2027</t>
  </si>
  <si>
    <t>M4
Apr 2027</t>
  </si>
  <si>
    <t>M5
May 2027</t>
  </si>
  <si>
    <t>M6
Jun 2027</t>
  </si>
  <si>
    <t>M7
Jul 2027</t>
  </si>
  <si>
    <t>M8
Aug 2027</t>
  </si>
  <si>
    <t>M9
Sep 2027</t>
  </si>
  <si>
    <t>M10
Oct 2027</t>
  </si>
  <si>
    <t>M11
Nov 2027</t>
  </si>
  <si>
    <t>M12
Dec 2027</t>
  </si>
  <si>
    <t>Year-1 Total</t>
  </si>
  <si>
    <t>Coverage: share of Valmo orders with a kirana nearby</t>
  </si>
  <si>
    <t>Parcels dropped at kiranas per day</t>
  </si>
  <si>
    <t>Parcels collected per day</t>
  </si>
  <si>
    <t>Kiranas live</t>
  </si>
  <si>
    <t>Kiranas added this month</t>
  </si>
  <si>
    <t>Share of wrong-address RTOs solved</t>
  </si>
  <si>
    <t>Pickup customers (active)</t>
  </si>
  <si>
    <t>New pickup customers (1st discounted order)</t>
  </si>
  <si>
    <t>Customers on their 2nd discounted order (last month's new customers still active)</t>
  </si>
  <si>
    <t>Money Saved</t>
  </si>
  <si>
    <t>Parcels collected in the month</t>
  </si>
  <si>
    <t>Costs</t>
  </si>
  <si>
    <t>Rider pay: ₹6 per parcel dropped (incl. never collected)</t>
  </si>
  <si>
    <t>Valmo hub: ₹7 per collected parcel (the part of ₹21 still paid)</t>
  </si>
  <si>
    <t>Discount on 1st pickup order (collected only)</t>
  </si>
  <si>
    <t>Discount on 2nd pickup order (collected only)</t>
  </si>
  <si>
    <t>WhatsApp messages + service-provider markup</t>
  </si>
  <si>
    <t>OTP SMS at handover</t>
  </si>
  <si>
    <t>UPI payment cost at the counter</t>
  </si>
  <si>
    <t>Customer-support contacts</t>
  </si>
  <si>
    <t>Handover photo storage</t>
  </si>
  <si>
    <t>Kirana onboarding (₹2,000 per kirana added)</t>
  </si>
  <si>
    <t>One-time: tech build</t>
  </si>
  <si>
    <t>One-time: kirana training + message translation</t>
  </si>
  <si>
    <t>One-time: legal (partner agreement, DPDP consent)</t>
  </si>
  <si>
    <t>Payback</t>
  </si>
  <si>
    <t>Payback point (months from launch, if inside Year 1)</t>
  </si>
  <si>
    <t>Money saved = door last-mile cost not paid on collected parcels (₹21) + wrong-address RTOs avoided; the ₹7 hub cost on those parcels is still paid and shown as a cost. M0 is the build month (one-time costs only). All inputs on the Assumptions sheet.</t>
  </si>
  <si>
    <t>Kirana Earnings vs Shelf-Space Cost (one kirana, one month)</t>
  </si>
  <si>
    <t>Inputs</t>
  </si>
  <si>
    <t>Input</t>
  </si>
  <si>
    <t>Parcels dropped at the kirana per day</t>
  </si>
  <si>
    <t>Share of parcels the customer collects</t>
  </si>
  <si>
    <t>Pay per parcel handed over</t>
  </si>
  <si>
    <t>Festive surge per parcel (Oct-Nov)</t>
  </si>
  <si>
    <t>Days in a month</t>
  </si>
  <si>
    <t>Hold period before an uncollected parcel is returned</t>
  </si>
  <si>
    <t>Average days a collected parcel waits on the shelf</t>
  </si>
  <si>
    <t>Parcels one rack holds</t>
  </si>
  <si>
    <t>parcels</t>
  </si>
  <si>
    <t>Floor space one rack takes</t>
  </si>
  <si>
    <t>sq ft</t>
  </si>
  <si>
    <t>Monthly shop rent, small town (mid-point)</t>
  </si>
  <si>
    <t>₹/month</t>
  </si>
  <si>
    <t>Shop size, small town (mid-point)</t>
  </si>
  <si>
    <t>Rent per sq ft per month</t>
  </si>
  <si>
    <t>₹/sq ft/month</t>
  </si>
  <si>
    <t>One kirana, one month, at the model's load</t>
  </si>
  <si>
    <t>Line</t>
  </si>
  <si>
    <t>How it is worked out</t>
  </si>
  <si>
    <t>Parcels handed over in the month</t>
  </si>
  <si>
    <t>Parcels a day x share collected x days</t>
  </si>
  <si>
    <t>Earnings from handovers</t>
  </si>
  <si>
    <t>₹</t>
  </si>
  <si>
    <t>Handovers x pay per parcel</t>
  </si>
  <si>
    <t>Festive surge (averaged over the year)</t>
  </si>
  <si>
    <t>2 months of 12 at the surge rate</t>
  </si>
  <si>
    <t>Total monthly earnings</t>
  </si>
  <si>
    <t>Parcels on the shelf on an average day</t>
  </si>
  <si>
    <t>Collected parcels wait ~2 days; uncollected ones wait the full hold</t>
  </si>
  <si>
    <t>Racks needed</t>
  </si>
  <si>
    <t>racks</t>
  </si>
  <si>
    <t>Parcels on shelf ÷ parcels per rack, rounded up</t>
  </si>
  <si>
    <t>Floor space used</t>
  </si>
  <si>
    <t>Racks x floor space per rack</t>
  </si>
  <si>
    <t>Share of the shop given to Meesho parcels</t>
  </si>
  <si>
    <t>Floor space ÷ shop size</t>
  </si>
  <si>
    <t>Shelf-space cost (rent of that floor space)</t>
  </si>
  <si>
    <t>Floor space x rent per sq ft</t>
  </si>
  <si>
    <t>Net monthly earning after shelf-space cost</t>
  </si>
  <si>
    <t>What the kirana keeps</t>
  </si>
  <si>
    <t>Earnings per ₹1 of shelf-space cost</t>
  </si>
  <si>
    <t>Earnings per sq ft used vs rent per sq ft</t>
  </si>
  <si>
    <t>₹/sq ft</t>
  </si>
  <si>
    <t>What the space earns from parcels vs what it costs in rent</t>
  </si>
  <si>
    <t>Refundable deposit (memo, not a cost)</t>
  </si>
  <si>
    <t>₹ once</t>
  </si>
  <si>
    <t>Taken in instalments from early payouts and returned on exit</t>
  </si>
  <si>
    <t>If the kirana gets fewer or more parcels a day</t>
  </si>
  <si>
    <t>Parcels dropped per day</t>
  </si>
  <si>
    <t>Monthly earnings</t>
  </si>
  <si>
    <t>Shelf-space cost</t>
  </si>
  <si>
    <t>Net monthly earning</t>
  </si>
  <si>
    <t>Year 1 by month: average payout per live kirana (from the Year 1 Monthly sheet)</t>
  </si>
  <si>
    <t>M1</t>
  </si>
  <si>
    <t>M3</t>
  </si>
  <si>
    <t>M6</t>
  </si>
  <si>
    <t>M9</t>
  </si>
  <si>
    <t>M12</t>
  </si>
  <si>
    <t>Paid to all kiranas in the month</t>
  </si>
  <si>
    <t>Average payout per live kirana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</si>
</sst>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₹]#,##0;\-[$₹]#,##0"/>
    <numFmt numFmtId="165" formatCode="0.0%"/>
    <numFmt numFmtId="166" formatCode="[$₹]#,##0.00;\-[$₹]#,##0.00"/>
    <numFmt numFmtId="167" formatCode="0.000"/>
    <numFmt numFmtId="168" formatCode="0.0"/>
    <numFmt numFmtId="169" formatCode="0.0000"/>
    <numFmt numFmtId="170" formatCode="[$₹]0.00"/>
    <numFmt numFmtId="171" formatCode="[$₹]0.0"/>
  </numFmts>
  <fonts count="9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u/>
      <sz val="9.0"/>
      <color rgb="FF1155CC"/>
      <name val="Arial"/>
    </font>
    <font>
      <sz val="11.0"/>
      <color theme="1"/>
      <name val="Calibri"/>
    </font>
    <font>
      <i/>
      <sz val="9.0"/>
      <color rgb="FF595959"/>
      <name val="Arial"/>
    </font>
    <font>
      <sz val="9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3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9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4" fillId="0" fontId="4" numFmtId="166" xfId="0" applyAlignment="1" applyBorder="1" applyFont="1" applyNumberFormat="1">
      <alignment horizontal="center" shrinkToFit="0" vertical="center" wrapText="1"/>
    </xf>
    <xf borderId="4" fillId="0" fontId="4" numFmtId="167" xfId="0" applyAlignment="1" applyBorder="1" applyFont="1" applyNumberFormat="1">
      <alignment horizontal="center" shrinkToFit="0" vertical="center" wrapText="1"/>
    </xf>
    <xf borderId="4" fillId="0" fontId="4" numFmtId="168" xfId="0" applyAlignment="1" applyBorder="1" applyFont="1" applyNumberFormat="1">
      <alignment horizontal="center" shrinkToFit="0" vertical="center" wrapText="1"/>
    </xf>
    <xf borderId="4" fillId="0" fontId="4" numFmtId="2" xfId="0" applyAlignment="1" applyBorder="1" applyFont="1" applyNumberFormat="1">
      <alignment horizontal="center" shrinkToFit="0" vertical="center" wrapText="1"/>
    </xf>
    <xf borderId="4" fillId="0" fontId="4" numFmtId="16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4" fillId="0" fontId="3" numFmtId="0" xfId="0" applyAlignment="1" applyBorder="1" applyFont="1">
      <alignment horizontal="center" shrinkToFit="0" vertical="center" wrapText="1"/>
    </xf>
    <xf borderId="4" fillId="4" fontId="3" numFmtId="164" xfId="0" applyAlignment="1" applyBorder="1" applyFill="1" applyFont="1" applyNumberForma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4" fontId="3" numFmtId="9" xfId="0" applyAlignment="1" applyBorder="1" applyFill="1" applyFont="1" applyNumberFormat="1">
      <alignment horizontal="center" shrinkToFit="0" vertical="center" wrapText="1"/>
    </xf>
    <xf borderId="4" fillId="4" fontId="3" numFmtId="3" xfId="0" applyAlignment="1" applyBorder="1" applyFill="1" applyFont="1" applyNumberFormat="1">
      <alignment horizontal="center" shrinkToFit="0" vertical="center" wrapText="1"/>
    </xf>
    <xf borderId="4" fillId="4" fontId="3" numFmtId="165" xfId="0" applyAlignment="1" applyBorder="1" applyFill="1" applyFont="1" applyNumberFormat="1">
      <alignment horizontal="center" shrinkToFit="0" vertical="center" wrapText="1"/>
    </xf>
    <xf borderId="4" fillId="0" fontId="4" numFmtId="170" xfId="0" applyAlignment="1" applyBorder="1" applyFont="1" applyNumberFormat="1">
      <alignment horizontal="center" shrinkToFit="0" vertical="center" wrapText="1"/>
    </xf>
    <xf borderId="4" fillId="0" fontId="3" numFmtId="170" xfId="0" applyAlignment="1" applyBorder="1" applyFont="1" applyNumberFormat="1">
      <alignment horizontal="center" shrinkToFit="0" vertical="center" wrapText="1"/>
    </xf>
    <xf borderId="4" fillId="0" fontId="3" numFmtId="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3" numFmtId="170" xfId="0" applyAlignment="1" applyBorder="1" applyFont="1" applyNumberFormat="1">
      <alignment horizontal="center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1" fillId="0" fontId="3" numFmtId="168" xfId="0" applyAlignment="1" applyBorder="1" applyFont="1" applyNumberFormat="1">
      <alignment horizontal="center" shrinkToFit="0" vertical="center" wrapText="1"/>
    </xf>
    <xf borderId="4" fillId="0" fontId="3" numFmtId="168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horizontal="left" shrinkToFit="0" vertical="center" wrapText="1"/>
    </xf>
    <xf borderId="4" fillId="0" fontId="4" numFmtId="171" xfId="0" applyAlignment="1" applyBorder="1" applyFont="1" applyNumberFormat="1">
      <alignment horizontal="center" shrinkToFit="0" vertical="center" wrapText="1"/>
    </xf>
    <xf borderId="4" fillId="3" fontId="3" numFmtId="1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rstory.com/2026/01/meesho-logistics-cheat-code-valmo-powering-value-commerce-growth" TargetMode="External"/><Relationship Id="rId22" Type="http://schemas.openxmlformats.org/officeDocument/2006/relationships/hyperlink" Target="https://yourstory.com/2026/01/meesho-logistics-cheat-code-valmo-powering-value-commerce-growth" TargetMode="External"/><Relationship Id="rId21" Type="http://schemas.openxmlformats.org/officeDocument/2006/relationships/hyperlink" Target="https://thedailybrief.zerodha.com/p/inside-meeshos-ipo" TargetMode="External"/><Relationship Id="rId24" Type="http://schemas.openxmlformats.org/officeDocument/2006/relationships/hyperlink" Target="https://chatmaxima.com/whatsapp-api-pricing/india/" TargetMode="External"/><Relationship Id="rId23" Type="http://schemas.openxmlformats.org/officeDocument/2006/relationships/hyperlink" Target="https://yourstory.com/2026/01/meesho-logistics-cheat-code-valmo-powering-value-commerce-growth" TargetMode="External"/><Relationship Id="rId1" Type="http://schemas.openxmlformats.org/officeDocument/2006/relationships/hyperlink" Target="https://static-assets.meesho.com/investor-relations/1784806298911/Q1ShareholdersLetter.pdf" TargetMode="External"/><Relationship Id="rId2" Type="http://schemas.openxmlformats.org/officeDocument/2006/relationships/hyperlink" Target="https://static-assets.meesho.com/investor-relations/1784806298911/Q1ShareholdersLetter.pdf" TargetMode="External"/><Relationship Id="rId3" Type="http://schemas.openxmlformats.org/officeDocument/2006/relationships/hyperlink" Target="https://bsmedia.business-standard.com/_media/bs/data/market-reports/equity-brokertips/2026-01/17679504020.34145800.pdf" TargetMode="External"/><Relationship Id="rId4" Type="http://schemas.openxmlformats.org/officeDocument/2006/relationships/hyperlink" Target="https://bsmedia.business-standard.com/_media/bs/data/market-reports/equity-brokertips/2026-01/17679504020.34145800.pdf" TargetMode="External"/><Relationship Id="rId9" Type="http://schemas.openxmlformats.org/officeDocument/2006/relationships/hyperlink" Target="https://www.storyboard18.com/how-it-works/tier-3-cities-power-21-yoy-growth-in-2025-summer-sales-account-for-38-of-indias-ecommerce-orders-unicommerce-72837.htm" TargetMode="External"/><Relationship Id="rId26" Type="http://schemas.openxmlformats.org/officeDocument/2006/relationships/hyperlink" Target="https://www.messagecentral.com/blog/a2p-sms-pricing-india" TargetMode="External"/><Relationship Id="rId25" Type="http://schemas.openxmlformats.org/officeDocument/2006/relationships/hyperlink" Target="https://whautomate.com/whatsapp-business-api-pricing-india" TargetMode="External"/><Relationship Id="rId28" Type="http://schemas.openxmlformats.org/officeDocument/2006/relationships/hyperlink" Target="https://precisiontech.in/cloud/amazon-aws-cloud/aws-pricing/aws-pricing-in-mumbai/" TargetMode="External"/><Relationship Id="rId27" Type="http://schemas.openxmlformats.org/officeDocument/2006/relationships/hyperlink" Target="https://financialservices.gov.in/sites/default/files/2026-09/FAQs---Merchant-Discount-Rate--MDR--on-Select-UPI--P2M--Transactions_0.pdf" TargetMode="External"/><Relationship Id="rId5" Type="http://schemas.openxmlformats.org/officeDocument/2006/relationships/hyperlink" Target="https://bsmedia.business-standard.com/_media/bs/data/market-reports/equity-brokertips/2026-05/17781299470.36140600.pdf" TargetMode="External"/><Relationship Id="rId6" Type="http://schemas.openxmlformats.org/officeDocument/2006/relationships/hyperlink" Target="https://bsmedia.business-standard.com/_media/bs/data/market-reports/equity-brokertips/2026-01/17679504020.34145800.pdf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yourstory.com/2019/09/amazon-india-space-initiative-kiranas-delivery-partners" TargetMode="External"/><Relationship Id="rId8" Type="http://schemas.openxmlformats.org/officeDocument/2006/relationships/hyperlink" Target="https://help.shopee.com.my/portal/4/article/78380-%5BSelf-Collection-Point%5D-How-do-I-track-and-collect-my-parcel(s)-from-a-Collection-Point" TargetMode="External"/><Relationship Id="rId11" Type="http://schemas.openxmlformats.org/officeDocument/2006/relationships/hyperlink" Target="https://static.pib.gov.in/WriteReadData/specificdocs/documents/2025/may/doc2025529560001.pdf" TargetMode="External"/><Relationship Id="rId10" Type="http://schemas.openxmlformats.org/officeDocument/2006/relationships/hyperlink" Target="https://meesho.io/blog/from-gen-z-to-gen-ai-four-key-trends-that-powered-meeshos-growth-in-2024" TargetMode="External"/><Relationship Id="rId13" Type="http://schemas.openxmlformats.org/officeDocument/2006/relationships/hyperlink" Target="https://www.hub-box.com/blog/the-pickup-shift-research-every-retail-brand-should-see/" TargetMode="External"/><Relationship Id="rId12" Type="http://schemas.openxmlformats.org/officeDocument/2006/relationships/hyperlink" Target="https://www.dhl.com/global-en/microsites/ec/ecommerce-insights/insights/e-commerce-logistics/out-of-home-trends.html" TargetMode="External"/><Relationship Id="rId15" Type="http://schemas.openxmlformats.org/officeDocument/2006/relationships/hyperlink" Target="https://static-assets.meesho.com/investor-relations/1784806298911/Q1ShareholdersLetter.pdf" TargetMode="External"/><Relationship Id="rId14" Type="http://schemas.openxmlformats.org/officeDocument/2006/relationships/hyperlink" Target="https://www.business-standard.com/article/companies/flipkart-launches-20-self-product-pick-up-centres-in-india-115072800762_1.html" TargetMode="External"/><Relationship Id="rId17" Type="http://schemas.openxmlformats.org/officeDocument/2006/relationships/hyperlink" Target="https://www.etvbharat.com/english/business/business-news/flipkart-onboards-27000-kirana-shops-to-strengthen-last-mile-delivery/na20190909172349156" TargetMode="External"/><Relationship Id="rId16" Type="http://schemas.openxmlformats.org/officeDocument/2006/relationships/hyperlink" Target="https://www.business-standard.com/article/companies/amazon-s-i-have-space-aids-local-stores-expand-business-amid-pandemic-120102200773_1.html" TargetMode="External"/><Relationship Id="rId19" Type="http://schemas.openxmlformats.org/officeDocument/2006/relationships/hyperlink" Target="https://www.etvbharat.com/english/business/business-news/flipkart-onboards-27000-kirana-shops-to-strengthen-last-mile-delivery/na20190909172349156" TargetMode="External"/><Relationship Id="rId18" Type="http://schemas.openxmlformats.org/officeDocument/2006/relationships/hyperlink" Target="https://www.medianama.com/2016/09/223-amazon-india-offline-deliver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0"/>
    <col customWidth="1" min="2" max="2" width="16.0"/>
    <col customWidth="1" min="3" max="3" width="14.0"/>
    <col customWidth="1" min="4" max="4" width="15.0"/>
  </cols>
  <sheetData>
    <row r="1" ht="19.5" customHeight="1">
      <c r="A1" s="1" t="s">
        <v>0</v>
      </c>
      <c r="B1" s="2"/>
      <c r="C1" s="2"/>
      <c r="D1" s="3"/>
    </row>
    <row r="2" ht="15.0" customHeight="1">
      <c r="A2" s="4" t="s">
        <v>1</v>
      </c>
      <c r="B2" s="4" t="s">
        <v>2</v>
      </c>
      <c r="C2" s="4" t="s">
        <v>3</v>
      </c>
      <c r="D2" s="4" t="s">
        <v>4</v>
      </c>
    </row>
    <row r="3" ht="19.5" customHeight="1">
      <c r="A3" s="5" t="s">
        <v>5</v>
      </c>
      <c r="B3" s="2"/>
      <c r="C3" s="2"/>
      <c r="D3" s="2"/>
    </row>
    <row r="4" ht="24.75" customHeight="1">
      <c r="A4" s="6" t="s">
        <v>6</v>
      </c>
      <c r="B4" s="7">
        <v>4200000.0</v>
      </c>
      <c r="C4" s="8" t="s">
        <v>7</v>
      </c>
      <c r="D4" s="9" t="s">
        <v>8</v>
      </c>
    </row>
    <row r="5" ht="24.75" customHeight="1">
      <c r="A5" s="6" t="s">
        <v>9</v>
      </c>
      <c r="B5" s="10">
        <v>0.0</v>
      </c>
      <c r="C5" s="8" t="s">
        <v>10</v>
      </c>
      <c r="D5" s="9" t="s">
        <v>8</v>
      </c>
    </row>
    <row r="6" ht="15.0" customHeight="1">
      <c r="A6" s="6" t="s">
        <v>11</v>
      </c>
      <c r="B6" s="11">
        <v>270.0</v>
      </c>
      <c r="C6" s="8" t="s">
        <v>12</v>
      </c>
      <c r="D6" s="9" t="s">
        <v>8</v>
      </c>
    </row>
    <row r="7" ht="24.75" customHeight="1">
      <c r="A7" s="6" t="s">
        <v>13</v>
      </c>
      <c r="B7" s="10">
        <v>0.8</v>
      </c>
      <c r="C7" s="8" t="s">
        <v>10</v>
      </c>
      <c r="D7" s="9" t="s">
        <v>8</v>
      </c>
    </row>
    <row r="8" ht="24.75" customHeight="1">
      <c r="A8" s="6" t="s">
        <v>14</v>
      </c>
      <c r="B8" s="10">
        <v>0.2</v>
      </c>
      <c r="C8" s="8" t="s">
        <v>10</v>
      </c>
      <c r="D8" s="9" t="s">
        <v>8</v>
      </c>
    </row>
    <row r="9" ht="15.0" customHeight="1">
      <c r="A9" s="6" t="s">
        <v>15</v>
      </c>
      <c r="B9" s="10">
        <v>0.05</v>
      </c>
      <c r="C9" s="8" t="s">
        <v>10</v>
      </c>
      <c r="D9" s="8"/>
    </row>
    <row r="10" ht="15.0" customHeight="1">
      <c r="A10" s="6" t="s">
        <v>16</v>
      </c>
      <c r="B10" s="12">
        <f>Assumptions!$B$7*Assumptions!$B$8+(1-Assumptions!$B$7)*Assumptions!$B$9</f>
        <v>0.17</v>
      </c>
      <c r="C10" s="8" t="s">
        <v>10</v>
      </c>
      <c r="D10" s="8"/>
    </row>
    <row r="11" ht="24.75" customHeight="1">
      <c r="A11" s="6" t="s">
        <v>17</v>
      </c>
      <c r="B11" s="11">
        <v>21.0</v>
      </c>
      <c r="C11" s="8" t="s">
        <v>18</v>
      </c>
      <c r="D11" s="9" t="s">
        <v>8</v>
      </c>
    </row>
    <row r="12" ht="15.0" customHeight="1">
      <c r="A12" s="6" t="s">
        <v>19</v>
      </c>
      <c r="B12" s="11">
        <v>120.0</v>
      </c>
      <c r="C12" s="8" t="s">
        <v>20</v>
      </c>
      <c r="D12" s="8"/>
    </row>
    <row r="13" ht="15.0" customHeight="1">
      <c r="A13" s="6" t="s">
        <v>21</v>
      </c>
      <c r="B13" s="13">
        <v>365.0</v>
      </c>
      <c r="C13" s="8" t="s">
        <v>22</v>
      </c>
      <c r="D13" s="8"/>
    </row>
    <row r="14" ht="19.5" customHeight="1">
      <c r="A14" s="1" t="s">
        <v>23</v>
      </c>
      <c r="B14" s="2"/>
      <c r="C14" s="2"/>
      <c r="D14" s="3"/>
    </row>
    <row r="15" ht="24.75" customHeight="1">
      <c r="A15" s="6" t="s">
        <v>24</v>
      </c>
      <c r="B15" s="11">
        <v>6.0</v>
      </c>
      <c r="C15" s="8" t="s">
        <v>18</v>
      </c>
      <c r="D15" s="8"/>
    </row>
    <row r="16" ht="24.75" customHeight="1">
      <c r="A16" s="6" t="s">
        <v>25</v>
      </c>
      <c r="B16" s="11">
        <v>6.0</v>
      </c>
      <c r="C16" s="8" t="s">
        <v>18</v>
      </c>
      <c r="D16" s="8"/>
    </row>
    <row r="17" ht="24.75" customHeight="1">
      <c r="A17" s="6" t="s">
        <v>26</v>
      </c>
      <c r="B17" s="11">
        <v>7.0</v>
      </c>
      <c r="C17" s="8" t="s">
        <v>18</v>
      </c>
      <c r="D17" s="9" t="s">
        <v>8</v>
      </c>
    </row>
    <row r="18" ht="15.0" customHeight="1">
      <c r="A18" s="6" t="s">
        <v>27</v>
      </c>
      <c r="B18" s="11">
        <f>Assumptions!$B$11-Assumptions!$B$15-Assumptions!$B$16-Assumptions!$B$17</f>
        <v>2</v>
      </c>
      <c r="C18" s="8" t="s">
        <v>18</v>
      </c>
      <c r="D18" s="8"/>
    </row>
    <row r="19" ht="15.0" customHeight="1">
      <c r="A19" s="6" t="s">
        <v>28</v>
      </c>
      <c r="B19" s="10">
        <v>0.05</v>
      </c>
      <c r="C19" s="8" t="s">
        <v>29</v>
      </c>
      <c r="D19" s="8"/>
    </row>
    <row r="20" ht="15.0" customHeight="1">
      <c r="A20" s="6" t="s">
        <v>30</v>
      </c>
      <c r="B20" s="8" t="s">
        <v>31</v>
      </c>
      <c r="C20" s="8" t="s">
        <v>32</v>
      </c>
      <c r="D20" s="8"/>
    </row>
    <row r="21" ht="24.75" customHeight="1">
      <c r="A21" s="6" t="s">
        <v>33</v>
      </c>
      <c r="B21" s="10">
        <v>0.05</v>
      </c>
      <c r="C21" s="8" t="s">
        <v>29</v>
      </c>
      <c r="D21" s="8"/>
    </row>
    <row r="22" ht="24.75" customHeight="1">
      <c r="A22" s="6" t="s">
        <v>34</v>
      </c>
      <c r="B22" s="13">
        <v>3.0</v>
      </c>
      <c r="C22" s="8" t="s">
        <v>35</v>
      </c>
      <c r="D22" s="8"/>
    </row>
    <row r="23" ht="15.0" customHeight="1">
      <c r="A23" s="6" t="s">
        <v>36</v>
      </c>
      <c r="B23" s="14">
        <v>0.0</v>
      </c>
      <c r="C23" s="8" t="s">
        <v>18</v>
      </c>
      <c r="D23" s="8"/>
    </row>
    <row r="24" ht="24.75" customHeight="1">
      <c r="A24" s="6" t="s">
        <v>37</v>
      </c>
      <c r="B24" s="13">
        <v>5.0</v>
      </c>
      <c r="C24" s="8" t="s">
        <v>22</v>
      </c>
      <c r="D24" s="9" t="s">
        <v>8</v>
      </c>
    </row>
    <row r="25" ht="15.0" customHeight="1">
      <c r="A25" s="6" t="s">
        <v>38</v>
      </c>
      <c r="B25" s="11">
        <v>5000.0</v>
      </c>
      <c r="C25" s="8" t="s">
        <v>39</v>
      </c>
      <c r="D25" s="8"/>
    </row>
    <row r="26" ht="15.0" customHeight="1">
      <c r="A26" s="6" t="s">
        <v>40</v>
      </c>
      <c r="B26" s="10">
        <v>0.15</v>
      </c>
      <c r="C26" s="8" t="s">
        <v>10</v>
      </c>
      <c r="D26" s="8"/>
    </row>
    <row r="27" ht="15.0" customHeight="1">
      <c r="A27" s="6" t="s">
        <v>41</v>
      </c>
      <c r="B27" s="10">
        <v>0.2</v>
      </c>
      <c r="C27" s="8" t="s">
        <v>10</v>
      </c>
      <c r="D27" s="8"/>
    </row>
    <row r="28" ht="15.0" customHeight="1">
      <c r="A28" s="6" t="s">
        <v>42</v>
      </c>
      <c r="B28" s="10">
        <v>0.5</v>
      </c>
      <c r="C28" s="8" t="s">
        <v>10</v>
      </c>
      <c r="D28" s="8"/>
    </row>
    <row r="29" ht="15.0" customHeight="1">
      <c r="A29" s="6" t="s">
        <v>43</v>
      </c>
      <c r="B29" s="13">
        <v>60.0</v>
      </c>
      <c r="C29" s="8" t="s">
        <v>44</v>
      </c>
      <c r="D29" s="8"/>
    </row>
    <row r="30" ht="15.0" customHeight="1">
      <c r="A30" s="6" t="s">
        <v>45</v>
      </c>
      <c r="B30" s="10">
        <f>Assumptions!$B$28</f>
        <v>0.5</v>
      </c>
      <c r="C30" s="8" t="s">
        <v>10</v>
      </c>
      <c r="D30" s="8"/>
    </row>
    <row r="31" ht="19.5" customHeight="1">
      <c r="A31" s="1" t="s">
        <v>46</v>
      </c>
      <c r="B31" s="2"/>
      <c r="C31" s="2"/>
      <c r="D31" s="3"/>
    </row>
    <row r="32" ht="24.75" customHeight="1">
      <c r="A32" s="6" t="s">
        <v>47</v>
      </c>
      <c r="B32" s="10">
        <v>0.38</v>
      </c>
      <c r="C32" s="8" t="s">
        <v>10</v>
      </c>
      <c r="D32" s="9" t="s">
        <v>8</v>
      </c>
    </row>
    <row r="33" ht="24.75" customHeight="1">
      <c r="A33" s="6" t="s">
        <v>48</v>
      </c>
      <c r="B33" s="10">
        <v>0.65</v>
      </c>
      <c r="C33" s="8" t="s">
        <v>10</v>
      </c>
      <c r="D33" s="9" t="s">
        <v>8</v>
      </c>
    </row>
    <row r="34" ht="24.75" customHeight="1">
      <c r="A34" s="6" t="s">
        <v>49</v>
      </c>
      <c r="B34" s="15">
        <v>0.815</v>
      </c>
      <c r="C34" s="8" t="s">
        <v>50</v>
      </c>
      <c r="D34" s="9" t="s">
        <v>8</v>
      </c>
    </row>
    <row r="35" ht="24.75" customHeight="1">
      <c r="A35" s="6" t="s">
        <v>51</v>
      </c>
      <c r="B35" s="15">
        <f>((1-Assumptions!$B$33)+Assumptions!$B$33*Assumptions!$B$34)/((1-Assumptions!$B$32)+Assumptions!$B$32*Assumptions!$B$34)</f>
        <v>0.9462729913</v>
      </c>
      <c r="C35" s="8" t="s">
        <v>50</v>
      </c>
      <c r="D35" s="8"/>
    </row>
    <row r="36" ht="24.75" customHeight="1">
      <c r="A36" s="6" t="s">
        <v>52</v>
      </c>
      <c r="B36" s="10">
        <v>0.08</v>
      </c>
      <c r="C36" s="8" t="s">
        <v>10</v>
      </c>
      <c r="D36" s="9" t="s">
        <v>8</v>
      </c>
    </row>
    <row r="37" ht="24.75" customHeight="1">
      <c r="A37" s="6" t="s">
        <v>53</v>
      </c>
      <c r="B37" s="10">
        <f>Assumptions!$B$36</f>
        <v>0.08</v>
      </c>
      <c r="C37" s="8" t="s">
        <v>10</v>
      </c>
      <c r="D37" s="9" t="s">
        <v>8</v>
      </c>
    </row>
    <row r="38" ht="24.75" customHeight="1">
      <c r="A38" s="6" t="s">
        <v>54</v>
      </c>
      <c r="B38" s="10">
        <v>0.8</v>
      </c>
      <c r="C38" s="8" t="s">
        <v>10</v>
      </c>
      <c r="D38" s="9" t="s">
        <v>8</v>
      </c>
    </row>
    <row r="39" ht="24.75" customHeight="1">
      <c r="A39" s="6" t="s">
        <v>55</v>
      </c>
      <c r="B39" s="12">
        <f>Assumptions!$B$38*Assumptions!$B$35</f>
        <v>0.757018393</v>
      </c>
      <c r="C39" s="8" t="s">
        <v>10</v>
      </c>
      <c r="D39" s="8"/>
    </row>
    <row r="40" ht="15.0" customHeight="1">
      <c r="A40" s="6" t="s">
        <v>56</v>
      </c>
      <c r="B40" s="16">
        <v>10.3</v>
      </c>
      <c r="C40" s="8" t="s">
        <v>57</v>
      </c>
      <c r="D40" s="9" t="s">
        <v>8</v>
      </c>
    </row>
    <row r="41" ht="15.0" customHeight="1">
      <c r="A41" s="6" t="s">
        <v>58</v>
      </c>
      <c r="B41" s="10">
        <v>0.4</v>
      </c>
      <c r="C41" s="8" t="s">
        <v>10</v>
      </c>
      <c r="D41" s="8"/>
    </row>
    <row r="42" ht="15.0" customHeight="1">
      <c r="A42" s="6" t="s">
        <v>59</v>
      </c>
      <c r="B42" s="13">
        <v>30.0</v>
      </c>
      <c r="C42" s="8" t="s">
        <v>60</v>
      </c>
      <c r="D42" s="9" t="s">
        <v>8</v>
      </c>
    </row>
    <row r="43" ht="19.5" customHeight="1">
      <c r="A43" s="1" t="s">
        <v>61</v>
      </c>
      <c r="B43" s="2"/>
      <c r="C43" s="2"/>
      <c r="D43" s="3"/>
    </row>
    <row r="44" ht="37.5" customHeight="1">
      <c r="A44" s="6" t="s">
        <v>62</v>
      </c>
      <c r="B44" s="13">
        <v>6.0</v>
      </c>
      <c r="C44" s="8" t="s">
        <v>44</v>
      </c>
      <c r="D44" s="9" t="s">
        <v>8</v>
      </c>
    </row>
    <row r="45" ht="24.75" customHeight="1">
      <c r="A45" s="6" t="s">
        <v>63</v>
      </c>
      <c r="B45" s="10">
        <v>0.01</v>
      </c>
      <c r="C45" s="8" t="s">
        <v>10</v>
      </c>
      <c r="D45" s="9" t="s">
        <v>8</v>
      </c>
    </row>
    <row r="46" ht="37.5" customHeight="1">
      <c r="A46" s="6" t="s">
        <v>64</v>
      </c>
      <c r="B46" s="10">
        <v>0.2</v>
      </c>
      <c r="C46" s="8" t="s">
        <v>10</v>
      </c>
      <c r="D46" s="9" t="s">
        <v>8</v>
      </c>
    </row>
    <row r="47" ht="24.75" customHeight="1">
      <c r="A47" s="6" t="s">
        <v>65</v>
      </c>
      <c r="B47" s="10">
        <v>0.35</v>
      </c>
      <c r="C47" s="8" t="s">
        <v>10</v>
      </c>
      <c r="D47" s="9" t="s">
        <v>8</v>
      </c>
    </row>
    <row r="48" ht="24.75" customHeight="1">
      <c r="A48" s="6" t="s">
        <v>66</v>
      </c>
      <c r="B48" s="10">
        <v>0.5</v>
      </c>
      <c r="C48" s="8" t="s">
        <v>10</v>
      </c>
      <c r="D48" s="9" t="s">
        <v>8</v>
      </c>
    </row>
    <row r="49" ht="24.75" customHeight="1">
      <c r="A49" s="6" t="s">
        <v>67</v>
      </c>
      <c r="B49" s="10">
        <v>0.6</v>
      </c>
      <c r="C49" s="8" t="s">
        <v>10</v>
      </c>
      <c r="D49" s="9" t="s">
        <v>8</v>
      </c>
    </row>
    <row r="50" ht="24.75" customHeight="1">
      <c r="A50" s="6" t="s">
        <v>68</v>
      </c>
      <c r="B50" s="10">
        <f>Assumptions!$B$33</f>
        <v>0.65</v>
      </c>
      <c r="C50" s="8" t="s">
        <v>10</v>
      </c>
      <c r="D50" s="9" t="s">
        <v>8</v>
      </c>
    </row>
    <row r="51" ht="19.5" customHeight="1">
      <c r="A51" s="1" t="s">
        <v>69</v>
      </c>
      <c r="B51" s="2"/>
      <c r="C51" s="2"/>
      <c r="D51" s="3"/>
    </row>
    <row r="52" ht="15.0" customHeight="1">
      <c r="A52" s="6" t="s">
        <v>70</v>
      </c>
      <c r="B52" s="15">
        <v>0.115</v>
      </c>
      <c r="C52" s="8" t="s">
        <v>71</v>
      </c>
      <c r="D52" s="9" t="s">
        <v>8</v>
      </c>
    </row>
    <row r="53" ht="15.0" customHeight="1">
      <c r="A53" s="6" t="s">
        <v>72</v>
      </c>
      <c r="B53" s="13">
        <v>2.0</v>
      </c>
      <c r="C53" s="8" t="s">
        <v>73</v>
      </c>
      <c r="D53" s="8"/>
    </row>
    <row r="54" ht="15.0" customHeight="1">
      <c r="A54" s="6" t="s">
        <v>74</v>
      </c>
      <c r="B54" s="10">
        <v>0.1</v>
      </c>
      <c r="C54" s="8" t="s">
        <v>75</v>
      </c>
      <c r="D54" s="9" t="s">
        <v>8</v>
      </c>
    </row>
    <row r="55" ht="15.0" customHeight="1">
      <c r="A55" s="6" t="s">
        <v>76</v>
      </c>
      <c r="B55" s="17">
        <v>0.18</v>
      </c>
      <c r="C55" s="8" t="s">
        <v>77</v>
      </c>
      <c r="D55" s="9" t="s">
        <v>8</v>
      </c>
    </row>
    <row r="56" ht="15.0" customHeight="1">
      <c r="A56" s="6" t="s">
        <v>78</v>
      </c>
      <c r="B56" s="10">
        <v>0.0</v>
      </c>
      <c r="C56" s="8" t="s">
        <v>29</v>
      </c>
      <c r="D56" s="9" t="s">
        <v>8</v>
      </c>
    </row>
    <row r="57" ht="15.0" customHeight="1">
      <c r="A57" s="6" t="s">
        <v>79</v>
      </c>
      <c r="B57" s="10">
        <v>0.03</v>
      </c>
      <c r="C57" s="8" t="s">
        <v>10</v>
      </c>
      <c r="D57" s="8"/>
    </row>
    <row r="58" ht="15.0" customHeight="1">
      <c r="A58" s="6" t="s">
        <v>80</v>
      </c>
      <c r="B58" s="11">
        <v>15.0</v>
      </c>
      <c r="C58" s="8" t="s">
        <v>81</v>
      </c>
      <c r="D58" s="8"/>
    </row>
    <row r="59" ht="15.0" customHeight="1">
      <c r="A59" s="6" t="s">
        <v>82</v>
      </c>
      <c r="B59" s="13">
        <v>200.0</v>
      </c>
      <c r="C59" s="8" t="s">
        <v>83</v>
      </c>
      <c r="D59" s="8"/>
    </row>
    <row r="60" ht="15.0" customHeight="1">
      <c r="A60" s="6" t="s">
        <v>84</v>
      </c>
      <c r="B60" s="13">
        <v>180.0</v>
      </c>
      <c r="C60" s="8" t="s">
        <v>22</v>
      </c>
      <c r="D60" s="8"/>
    </row>
    <row r="61" ht="15.0" customHeight="1">
      <c r="A61" s="6" t="s">
        <v>85</v>
      </c>
      <c r="B61" s="17">
        <v>2.1</v>
      </c>
      <c r="C61" s="8" t="s">
        <v>86</v>
      </c>
      <c r="D61" s="9" t="s">
        <v>8</v>
      </c>
    </row>
    <row r="62" ht="24.75" customHeight="1">
      <c r="A62" s="6" t="s">
        <v>87</v>
      </c>
      <c r="B62" s="10">
        <v>0.1</v>
      </c>
      <c r="C62" s="8" t="s">
        <v>10</v>
      </c>
      <c r="D62" s="8"/>
    </row>
    <row r="63" ht="19.5" customHeight="1">
      <c r="A63" s="1" t="s">
        <v>88</v>
      </c>
      <c r="B63" s="2"/>
      <c r="C63" s="2"/>
      <c r="D63" s="3"/>
    </row>
    <row r="64" ht="24.75" customHeight="1">
      <c r="A64" s="6" t="s">
        <v>89</v>
      </c>
      <c r="B64" s="11">
        <v>1500000.0</v>
      </c>
      <c r="C64" s="8" t="s">
        <v>90</v>
      </c>
      <c r="D64" s="8"/>
    </row>
    <row r="65" ht="15.0" customHeight="1">
      <c r="A65" s="6" t="s">
        <v>91</v>
      </c>
      <c r="B65" s="13">
        <v>10.0</v>
      </c>
      <c r="C65" s="8" t="s">
        <v>92</v>
      </c>
      <c r="D65" s="8"/>
    </row>
    <row r="66" ht="15.0" customHeight="1">
      <c r="A66" s="6" t="s">
        <v>93</v>
      </c>
      <c r="B66" s="11">
        <v>5000.0</v>
      </c>
      <c r="C66" s="8" t="s">
        <v>94</v>
      </c>
      <c r="D66" s="8"/>
    </row>
    <row r="67" ht="24.75" customHeight="1">
      <c r="A67" s="6" t="s">
        <v>95</v>
      </c>
      <c r="B67" s="11">
        <v>200000.0</v>
      </c>
      <c r="C67" s="8" t="s">
        <v>90</v>
      </c>
      <c r="D67" s="8"/>
    </row>
    <row r="68" ht="24.75" customHeight="1">
      <c r="A68" s="6" t="s">
        <v>96</v>
      </c>
      <c r="B68" s="11">
        <v>2000.0</v>
      </c>
      <c r="C68" s="8" t="s">
        <v>39</v>
      </c>
      <c r="D68" s="8"/>
    </row>
    <row r="69" ht="19.5" customHeight="1">
      <c r="A69" s="1" t="s">
        <v>97</v>
      </c>
      <c r="B69" s="2"/>
      <c r="C69" s="2"/>
      <c r="D69" s="3"/>
    </row>
    <row r="70" ht="15.0" customHeight="1">
      <c r="A70" s="6" t="s">
        <v>98</v>
      </c>
      <c r="B70" s="14">
        <f>Assumptions!$B$53*Assumptions!$B$52*(1+Assumptions!$B$54)</f>
        <v>0.253</v>
      </c>
      <c r="C70" s="8" t="s">
        <v>18</v>
      </c>
      <c r="D70" s="8"/>
    </row>
    <row r="71" ht="24.75" customHeight="1">
      <c r="A71" s="6" t="s">
        <v>99</v>
      </c>
      <c r="B71" s="18">
        <f>Assumptions!$B$10*Assumptions!$B$26</f>
        <v>0.0255</v>
      </c>
      <c r="C71" s="8" t="s">
        <v>100</v>
      </c>
      <c r="D71" s="8"/>
    </row>
    <row r="72" ht="15.0" customHeight="1">
      <c r="A72" s="6" t="s">
        <v>101</v>
      </c>
      <c r="B72" s="15">
        <f>Assumptions!$B$40/12</f>
        <v>0.8583333333</v>
      </c>
      <c r="C72" s="8" t="s">
        <v>102</v>
      </c>
      <c r="D72" s="8"/>
    </row>
    <row r="73" ht="15.0" customHeight="1">
      <c r="A73" s="6" t="s">
        <v>103</v>
      </c>
      <c r="B73" s="12">
        <f>1-(1-Assumptions!$B$41)^(1/12)</f>
        <v>0.04167547137</v>
      </c>
      <c r="C73" s="8" t="s">
        <v>10</v>
      </c>
      <c r="D73" s="8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:D1"/>
    <mergeCell ref="A3:D3"/>
    <mergeCell ref="A14:D14"/>
    <mergeCell ref="A31:D31"/>
    <mergeCell ref="A43:D43"/>
    <mergeCell ref="A51:D51"/>
    <mergeCell ref="A63:D63"/>
    <mergeCell ref="A69:D69"/>
  </mergeCells>
  <dataValidations>
    <dataValidation type="decimal" allowBlank="1" sqref="B22">
      <formula1>1.0</formula1>
      <formula2>10.0</formula2>
    </dataValidation>
    <dataValidation type="list" allowBlank="1" sqref="B20">
      <formula1>"Yes,No"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11"/>
    <hyperlink r:id="rId7" ref="D17"/>
    <hyperlink r:id="rId8" ref="D24"/>
    <hyperlink r:id="rId9" ref="D32"/>
    <hyperlink r:id="rId10" ref="D33"/>
    <hyperlink r:id="rId11" ref="D34"/>
    <hyperlink r:id="rId12" ref="D36"/>
    <hyperlink r:id="rId13" ref="D37"/>
    <hyperlink r:id="rId14" ref="D38"/>
    <hyperlink r:id="rId15" ref="D40"/>
    <hyperlink r:id="rId16" ref="D42"/>
    <hyperlink r:id="rId17" ref="D44"/>
    <hyperlink r:id="rId18" ref="D45"/>
    <hyperlink r:id="rId19" ref="D46"/>
    <hyperlink r:id="rId20" ref="D47"/>
    <hyperlink r:id="rId21" ref="D48"/>
    <hyperlink r:id="rId22" ref="D49"/>
    <hyperlink r:id="rId23" ref="D50"/>
    <hyperlink r:id="rId24" ref="D52"/>
    <hyperlink r:id="rId25" ref="D54"/>
    <hyperlink r:id="rId26" ref="D55"/>
    <hyperlink r:id="rId27" ref="D56"/>
    <hyperlink r:id="rId28" ref="D61"/>
  </hyperlinks>
  <printOptions/>
  <pageMargins bottom="1.0" footer="0.0" header="0.0" left="0.75" right="0.75" top="1.0"/>
  <pageSetup fitToHeight="0" paperSize="9" orientation="landscape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0"/>
    <col customWidth="1" min="2" max="11" width="15.0"/>
    <col customWidth="1" min="12" max="12" width="17.0"/>
  </cols>
  <sheetData>
    <row r="1" ht="19.5" customHeight="1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" t="s">
        <v>105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 t="s">
        <v>116</v>
      </c>
    </row>
    <row r="3" ht="15.0" customHeight="1">
      <c r="A3" s="20" t="s">
        <v>117</v>
      </c>
      <c r="B3" s="11">
        <f>'Year 1 Monthly'!O16</f>
        <v>127539960.7</v>
      </c>
      <c r="C3" s="11">
        <f>C10*Assumptions!$B$11</f>
        <v>682379407.6</v>
      </c>
      <c r="D3" s="11">
        <f>D10*Assumptions!$B$11</f>
        <v>974827725.1</v>
      </c>
      <c r="E3" s="11">
        <f>E10*Assumptions!$B$11</f>
        <v>1169793270</v>
      </c>
      <c r="F3" s="11">
        <f>F10*Assumptions!$B$11</f>
        <v>1267276043</v>
      </c>
      <c r="G3" s="11">
        <f>G10*Assumptions!$B$11</f>
        <v>1267276043</v>
      </c>
      <c r="H3" s="11">
        <f>H10*Assumptions!$B$11</f>
        <v>1267276043</v>
      </c>
      <c r="I3" s="11">
        <f>I10*Assumptions!$B$11</f>
        <v>1267276043</v>
      </c>
      <c r="J3" s="11">
        <f>J10*Assumptions!$B$11</f>
        <v>1267276043</v>
      </c>
      <c r="K3" s="11">
        <f>K10*Assumptions!$B$11</f>
        <v>1267276043</v>
      </c>
      <c r="L3" s="21">
        <f t="shared" ref="L3:L5" si="1">SUM(B3:K3)</f>
        <v>10558196619</v>
      </c>
    </row>
    <row r="4" ht="15.0" customHeight="1">
      <c r="A4" s="20" t="s">
        <v>118</v>
      </c>
      <c r="B4" s="11">
        <f>'Year 1 Monthly'!O18</f>
        <v>6001804.129</v>
      </c>
      <c r="C4" s="11">
        <f>C12*Assumptions!$B$12</f>
        <v>37289315.59</v>
      </c>
      <c r="D4" s="11">
        <f>D12*Assumptions!$B$12</f>
        <v>64719622.37</v>
      </c>
      <c r="E4" s="11">
        <f>E12*Assumptions!$B$12</f>
        <v>91402552.68</v>
      </c>
      <c r="F4" s="11">
        <f>F12*Assumptions!$B$12</f>
        <v>113903355.1</v>
      </c>
      <c r="G4" s="11">
        <f>G12*Assumptions!$B$12</f>
        <v>121965480</v>
      </c>
      <c r="H4" s="11">
        <f>H12*Assumptions!$B$12</f>
        <v>121965480</v>
      </c>
      <c r="I4" s="11">
        <f>I12*Assumptions!$B$12</f>
        <v>121965480</v>
      </c>
      <c r="J4" s="11">
        <f>J12*Assumptions!$B$12</f>
        <v>121965480</v>
      </c>
      <c r="K4" s="11">
        <f>K12*Assumptions!$B$12</f>
        <v>121965480</v>
      </c>
      <c r="L4" s="21">
        <f t="shared" si="1"/>
        <v>923144049.8</v>
      </c>
    </row>
    <row r="5" ht="15.0" customHeight="1">
      <c r="A5" s="22" t="s">
        <v>104</v>
      </c>
      <c r="B5" s="21">
        <f>'Year 1 Monthly'!O19</f>
        <v>133541764.8</v>
      </c>
      <c r="C5" s="21">
        <f t="shared" ref="C5:K5" si="2">C3+C4</f>
        <v>719668723.1</v>
      </c>
      <c r="D5" s="21">
        <f t="shared" si="2"/>
        <v>1039547347</v>
      </c>
      <c r="E5" s="21">
        <f t="shared" si="2"/>
        <v>1261195823</v>
      </c>
      <c r="F5" s="21">
        <f t="shared" si="2"/>
        <v>1381179398</v>
      </c>
      <c r="G5" s="21">
        <f t="shared" si="2"/>
        <v>1389241523</v>
      </c>
      <c r="H5" s="21">
        <f t="shared" si="2"/>
        <v>1389241523</v>
      </c>
      <c r="I5" s="21">
        <f t="shared" si="2"/>
        <v>1389241523</v>
      </c>
      <c r="J5" s="21">
        <f t="shared" si="2"/>
        <v>1389241523</v>
      </c>
      <c r="K5" s="21">
        <f t="shared" si="2"/>
        <v>1389241523</v>
      </c>
      <c r="L5" s="21">
        <f t="shared" si="1"/>
        <v>11481340669</v>
      </c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19.5" customHeight="1">
      <c r="A7" s="1" t="s">
        <v>119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ht="15.0" customHeight="1">
      <c r="A8" s="4" t="s">
        <v>120</v>
      </c>
      <c r="B8" s="4" t="s">
        <v>106</v>
      </c>
      <c r="C8" s="4" t="s">
        <v>107</v>
      </c>
      <c r="D8" s="4" t="s">
        <v>108</v>
      </c>
      <c r="E8" s="4" t="s">
        <v>109</v>
      </c>
      <c r="F8" s="4" t="s">
        <v>110</v>
      </c>
      <c r="G8" s="4" t="s">
        <v>111</v>
      </c>
      <c r="H8" s="4" t="s">
        <v>112</v>
      </c>
      <c r="I8" s="4" t="s">
        <v>113</v>
      </c>
      <c r="J8" s="4" t="s">
        <v>114</v>
      </c>
      <c r="K8" s="4" t="s">
        <v>115</v>
      </c>
      <c r="L8" s="4" t="s">
        <v>116</v>
      </c>
    </row>
    <row r="9" ht="23.25" customHeight="1">
      <c r="A9" s="20" t="s">
        <v>121</v>
      </c>
      <c r="B9" s="10">
        <f>'Year 1 Monthly'!N4</f>
        <v>0.2</v>
      </c>
      <c r="C9" s="10">
        <f>Assumptions!$B$47</f>
        <v>0.35</v>
      </c>
      <c r="D9" s="10">
        <f>Assumptions!$B$48</f>
        <v>0.5</v>
      </c>
      <c r="E9" s="10">
        <f>Assumptions!$B$49</f>
        <v>0.6</v>
      </c>
      <c r="F9" s="10">
        <f>Assumptions!$B$50</f>
        <v>0.65</v>
      </c>
      <c r="G9" s="10">
        <f>Assumptions!$B$50</f>
        <v>0.65</v>
      </c>
      <c r="H9" s="10">
        <f>Assumptions!$B$50</f>
        <v>0.65</v>
      </c>
      <c r="I9" s="10">
        <f>Assumptions!$B$50</f>
        <v>0.65</v>
      </c>
      <c r="J9" s="10">
        <f>Assumptions!$B$50</f>
        <v>0.65</v>
      </c>
      <c r="K9" s="10">
        <f>Assumptions!$B$50</f>
        <v>0.65</v>
      </c>
      <c r="L9" s="23"/>
    </row>
    <row r="10" ht="15.0" customHeight="1">
      <c r="A10" s="20" t="s">
        <v>122</v>
      </c>
      <c r="B10" s="7">
        <f>'Year 1 Monthly'!O15</f>
        <v>6073331.462</v>
      </c>
      <c r="C10" s="7">
        <f>C13*Assumptions!$B$39*Assumptions!$B$13</f>
        <v>32494257.5</v>
      </c>
      <c r="D10" s="7">
        <f>D13*Assumptions!$B$39*Assumptions!$B$13</f>
        <v>46420367.86</v>
      </c>
      <c r="E10" s="7">
        <f>E13*Assumptions!$B$39*Assumptions!$B$13</f>
        <v>55704441.43</v>
      </c>
      <c r="F10" s="7">
        <f>F13*Assumptions!$B$39*Assumptions!$B$13</f>
        <v>60346478.22</v>
      </c>
      <c r="G10" s="7">
        <f>G13*Assumptions!$B$39*Assumptions!$B$13</f>
        <v>60346478.22</v>
      </c>
      <c r="H10" s="7">
        <f>H13*Assumptions!$B$39*Assumptions!$B$13</f>
        <v>60346478.22</v>
      </c>
      <c r="I10" s="7">
        <f>I13*Assumptions!$B$39*Assumptions!$B$13</f>
        <v>60346478.22</v>
      </c>
      <c r="J10" s="7">
        <f>J13*Assumptions!$B$39*Assumptions!$B$13</f>
        <v>60346478.22</v>
      </c>
      <c r="K10" s="7">
        <f>K13*Assumptions!$B$39*Assumptions!$B$13</f>
        <v>60346478.22</v>
      </c>
      <c r="L10" s="24">
        <f>SUM(B10:K10)</f>
        <v>502771267.6</v>
      </c>
    </row>
    <row r="11" ht="15.0" customHeight="1">
      <c r="A11" s="20" t="s">
        <v>123</v>
      </c>
      <c r="B11" s="12">
        <f>'Year 1 Monthly'!O9</f>
        <v>0.2279661017</v>
      </c>
      <c r="C11" s="12">
        <f>IF(2&gt;5,Assumptions!$B$30,Assumptions!$B$27+(Assumptions!$B$28-Assumptions!$B$27)*MIN(1,(12*2-6.5-1)/(Assumptions!$B$29-1)))</f>
        <v>0.2838983051</v>
      </c>
      <c r="D11" s="12">
        <f>IF(3&gt;5,Assumptions!$B$30,Assumptions!$B$27+(Assumptions!$B$28-Assumptions!$B$27)*MIN(1,(12*3-6.5-1)/(Assumptions!$B$29-1)))</f>
        <v>0.3449152542</v>
      </c>
      <c r="E11" s="12">
        <f>IF(4&gt;5,Assumptions!$B$30,Assumptions!$B$27+(Assumptions!$B$28-Assumptions!$B$27)*MIN(1,(12*4-6.5-1)/(Assumptions!$B$29-1)))</f>
        <v>0.4059322034</v>
      </c>
      <c r="F11" s="12">
        <f>IF(5&gt;5,Assumptions!$B$30,Assumptions!$B$27+(Assumptions!$B$28-Assumptions!$B$27)*MIN(1,(12*5-6.5-1)/(Assumptions!$B$29-1)))</f>
        <v>0.4669491525</v>
      </c>
      <c r="G11" s="12">
        <f>IF(6&gt;5,Assumptions!$B$30,Assumptions!$B$27+(Assumptions!$B$28-Assumptions!$B$27)*MIN(1,(12*6-6.5-1)/(Assumptions!$B$29-1)))</f>
        <v>0.5</v>
      </c>
      <c r="H11" s="12">
        <f>IF(7&gt;5,Assumptions!$B$30,Assumptions!$B$27+(Assumptions!$B$28-Assumptions!$B$27)*MIN(1,(12*7-6.5-1)/(Assumptions!$B$29-1)))</f>
        <v>0.5</v>
      </c>
      <c r="I11" s="12">
        <f>IF(8&gt;5,Assumptions!$B$30,Assumptions!$B$27+(Assumptions!$B$28-Assumptions!$B$27)*MIN(1,(12*8-6.5-1)/(Assumptions!$B$29-1)))</f>
        <v>0.5</v>
      </c>
      <c r="J11" s="12">
        <f>IF(9&gt;5,Assumptions!$B$30,Assumptions!$B$27+(Assumptions!$B$28-Assumptions!$B$27)*MIN(1,(12*9-6.5-1)/(Assumptions!$B$29-1)))</f>
        <v>0.5</v>
      </c>
      <c r="K11" s="12">
        <f>IF(10&gt;5,Assumptions!$B$30,Assumptions!$B$27+(Assumptions!$B$28-Assumptions!$B$27)*MIN(1,(12*10-6.5-1)/(Assumptions!$B$29-1)))</f>
        <v>0.5</v>
      </c>
      <c r="L11" s="25"/>
    </row>
    <row r="12" ht="15.0" customHeight="1">
      <c r="A12" s="20" t="s">
        <v>124</v>
      </c>
      <c r="B12" s="7">
        <f>'Year 1 Monthly'!O17</f>
        <v>50015.03441</v>
      </c>
      <c r="C12" s="7">
        <f>C13*Assumptions!$B$13*Assumptions!$B$71*C11</f>
        <v>310744.2966</v>
      </c>
      <c r="D12" s="7">
        <f>D13*Assumptions!$B$13*Assumptions!$B$71*D11</f>
        <v>539330.1864</v>
      </c>
      <c r="E12" s="7">
        <f>E13*Assumptions!$B$13*Assumptions!$B$71*E11</f>
        <v>761687.939</v>
      </c>
      <c r="F12" s="7">
        <f>F13*Assumptions!$B$13*Assumptions!$B$71*F11</f>
        <v>949194.6254</v>
      </c>
      <c r="G12" s="7">
        <f>G13*Assumptions!$B$13*Assumptions!$B$71*G11</f>
        <v>1016379</v>
      </c>
      <c r="H12" s="7">
        <f>H13*Assumptions!$B$13*Assumptions!$B$71*H11</f>
        <v>1016379</v>
      </c>
      <c r="I12" s="7">
        <f>I13*Assumptions!$B$13*Assumptions!$B$71*I11</f>
        <v>1016379</v>
      </c>
      <c r="J12" s="7">
        <f>J13*Assumptions!$B$13*Assumptions!$B$71*J11</f>
        <v>1016379</v>
      </c>
      <c r="K12" s="7">
        <f>K13*Assumptions!$B$13*Assumptions!$B$71*K11</f>
        <v>1016379</v>
      </c>
      <c r="L12" s="24">
        <f>SUM(B12:K12)</f>
        <v>7692867.082</v>
      </c>
    </row>
    <row r="13" ht="15.0" customHeight="1">
      <c r="A13" s="20" t="s">
        <v>125</v>
      </c>
      <c r="B13" s="7">
        <f>'Year 1 Monthly'!O5</f>
        <v>21980</v>
      </c>
      <c r="C13" s="7">
        <f>Assumptions!$B$4*(1+Assumptions!$B$5)^(2-1)*C9*Assumptions!$B$37</f>
        <v>117600</v>
      </c>
      <c r="D13" s="7">
        <f>Assumptions!$B$4*(1+Assumptions!$B$5)^(3-1)*D9*Assumptions!$B$37</f>
        <v>168000</v>
      </c>
      <c r="E13" s="7">
        <f>Assumptions!$B$4*(1+Assumptions!$B$5)^(4-1)*E9*Assumptions!$B$37</f>
        <v>201600</v>
      </c>
      <c r="F13" s="7">
        <f>Assumptions!$B$4*(1+Assumptions!$B$5)^(5-1)*F9*Assumptions!$B$37</f>
        <v>218400</v>
      </c>
      <c r="G13" s="7">
        <f>Assumptions!$B$4*(1+Assumptions!$B$5)^(6-1)*G9*Assumptions!$B$37</f>
        <v>218400</v>
      </c>
      <c r="H13" s="7">
        <f>Assumptions!$B$4*(1+Assumptions!$B$5)^(7-1)*H9*Assumptions!$B$37</f>
        <v>218400</v>
      </c>
      <c r="I13" s="7">
        <f>Assumptions!$B$4*(1+Assumptions!$B$5)^(8-1)*I9*Assumptions!$B$37</f>
        <v>218400</v>
      </c>
      <c r="J13" s="7">
        <f>Assumptions!$B$4*(1+Assumptions!$B$5)^(9-1)*J9*Assumptions!$B$37</f>
        <v>218400</v>
      </c>
      <c r="K13" s="7">
        <f>Assumptions!$B$4*(1+Assumptions!$B$5)^(10-1)*K9*Assumptions!$B$37</f>
        <v>218400</v>
      </c>
      <c r="L13" s="24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L1"/>
    <mergeCell ref="A7:L7"/>
  </mergeCells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0"/>
    <col customWidth="1" min="2" max="11" width="15.0"/>
    <col customWidth="1" min="12" max="12" width="17.0"/>
  </cols>
  <sheetData>
    <row r="1" ht="19.5" customHeight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" t="s">
        <v>127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 t="s">
        <v>116</v>
      </c>
    </row>
    <row r="3" ht="15.0" customHeight="1">
      <c r="A3" s="20" t="s">
        <v>128</v>
      </c>
      <c r="B3" s="11">
        <f>'Year 1 Monthly'!O23</f>
        <v>36439988.77</v>
      </c>
      <c r="C3" s="11">
        <f>'Money Saved'!C10*Assumptions!$B$15</f>
        <v>194965545</v>
      </c>
      <c r="D3" s="11">
        <f>'Money Saved'!D10*Assumptions!$B$15</f>
        <v>278522207.2</v>
      </c>
      <c r="E3" s="11">
        <f>'Money Saved'!E10*Assumptions!$B$15</f>
        <v>334226648.6</v>
      </c>
      <c r="F3" s="11">
        <f>'Money Saved'!F10*Assumptions!$B$15</f>
        <v>362078869.3</v>
      </c>
      <c r="G3" s="11">
        <f>'Money Saved'!G10*Assumptions!$B$15</f>
        <v>362078869.3</v>
      </c>
      <c r="H3" s="11">
        <f>'Money Saved'!H10*Assumptions!$B$15</f>
        <v>362078869.3</v>
      </c>
      <c r="I3" s="11">
        <f>'Money Saved'!I10*Assumptions!$B$15</f>
        <v>362078869.3</v>
      </c>
      <c r="J3" s="11">
        <f>'Money Saved'!J10*Assumptions!$B$15</f>
        <v>362078869.3</v>
      </c>
      <c r="K3" s="11">
        <f>'Money Saved'!K10*Assumptions!$B$15</f>
        <v>362078869.3</v>
      </c>
      <c r="L3" s="21">
        <f t="shared" ref="L3:L14" si="1">SUM(B3:K3)</f>
        <v>3016627605</v>
      </c>
    </row>
    <row r="4" ht="15.0" customHeight="1">
      <c r="A4" s="20" t="s">
        <v>129</v>
      </c>
      <c r="B4" s="11">
        <f>'Year 1 Monthly'!O22</f>
        <v>48136200</v>
      </c>
      <c r="C4" s="11">
        <f>'Money Saved'!C13*Assumptions!$B$13*Assumptions!$B$16</f>
        <v>257544000</v>
      </c>
      <c r="D4" s="11">
        <f>'Money Saved'!D13*Assumptions!$B$13*Assumptions!$B$16</f>
        <v>367920000</v>
      </c>
      <c r="E4" s="11">
        <f>'Money Saved'!E13*Assumptions!$B$13*Assumptions!$B$16</f>
        <v>441504000</v>
      </c>
      <c r="F4" s="11">
        <f>'Money Saved'!F13*Assumptions!$B$13*Assumptions!$B$16</f>
        <v>478296000</v>
      </c>
      <c r="G4" s="11">
        <f>'Money Saved'!G13*Assumptions!$B$13*Assumptions!$B$16</f>
        <v>478296000</v>
      </c>
      <c r="H4" s="11">
        <f>'Money Saved'!H13*Assumptions!$B$13*Assumptions!$B$16</f>
        <v>478296000</v>
      </c>
      <c r="I4" s="11">
        <f>'Money Saved'!I13*Assumptions!$B$13*Assumptions!$B$16</f>
        <v>478296000</v>
      </c>
      <c r="J4" s="11">
        <f>'Money Saved'!J13*Assumptions!$B$13*Assumptions!$B$16</f>
        <v>478296000</v>
      </c>
      <c r="K4" s="11">
        <f>'Money Saved'!K13*Assumptions!$B$13*Assumptions!$B$16</f>
        <v>478296000</v>
      </c>
      <c r="L4" s="21">
        <f t="shared" si="1"/>
        <v>3984880200</v>
      </c>
    </row>
    <row r="5" ht="15.0" customHeight="1">
      <c r="A5" s="20" t="s">
        <v>130</v>
      </c>
      <c r="B5" s="11">
        <f>'Year 1 Monthly'!O24</f>
        <v>42513320.23</v>
      </c>
      <c r="C5" s="11">
        <f>'Money Saved'!C10*Assumptions!$B$17</f>
        <v>227459802.5</v>
      </c>
      <c r="D5" s="11">
        <f>'Money Saved'!D10*Assumptions!$B$17</f>
        <v>324942575</v>
      </c>
      <c r="E5" s="11">
        <f>'Money Saved'!E10*Assumptions!$B$17</f>
        <v>389931090</v>
      </c>
      <c r="F5" s="11">
        <f>'Money Saved'!F10*Assumptions!$B$17</f>
        <v>422425347.5</v>
      </c>
      <c r="G5" s="11">
        <f>'Money Saved'!G10*Assumptions!$B$17</f>
        <v>422425347.5</v>
      </c>
      <c r="H5" s="11">
        <f>'Money Saved'!H10*Assumptions!$B$17</f>
        <v>422425347.5</v>
      </c>
      <c r="I5" s="11">
        <f>'Money Saved'!I10*Assumptions!$B$17</f>
        <v>422425347.5</v>
      </c>
      <c r="J5" s="11">
        <f>'Money Saved'!J10*Assumptions!$B$17</f>
        <v>422425347.5</v>
      </c>
      <c r="K5" s="11">
        <f>'Money Saved'!K10*Assumptions!$B$17</f>
        <v>422425347.5</v>
      </c>
      <c r="L5" s="21">
        <f t="shared" si="1"/>
        <v>3519398873</v>
      </c>
    </row>
    <row r="6" ht="15.0" customHeight="1">
      <c r="A6" s="20" t="s">
        <v>131</v>
      </c>
      <c r="B6" s="11">
        <f>'Year 1 Monthly'!O25</f>
        <v>27303577.35</v>
      </c>
      <c r="C6" s="11">
        <f>IF(2&lt;=Assumptions!$B$22,C22*Assumptions!$B$39*Assumptions!$B$19*Assumptions!$B$6,0)</f>
        <v>27987425.67</v>
      </c>
      <c r="D6" s="11">
        <f>IF(3&lt;=Assumptions!$B$22,D22*Assumptions!$B$39*Assumptions!$B$19*Assumptions!$B$6,0)</f>
        <v>35288493.24</v>
      </c>
      <c r="E6" s="11">
        <f>IF(4&lt;=Assumptions!$B$22,E22*Assumptions!$B$39*Assumptions!$B$19*Assumptions!$B$6,0)</f>
        <v>0</v>
      </c>
      <c r="F6" s="11">
        <f>IF(5&lt;=Assumptions!$B$22,F22*Assumptions!$B$39*Assumptions!$B$19*Assumptions!$B$6,0)</f>
        <v>0</v>
      </c>
      <c r="G6" s="11">
        <f>IF(6&lt;=Assumptions!$B$22,G22*Assumptions!$B$39*Assumptions!$B$19*Assumptions!$B$6,0)</f>
        <v>0</v>
      </c>
      <c r="H6" s="11">
        <f>IF(7&lt;=Assumptions!$B$22,H22*Assumptions!$B$39*Assumptions!$B$19*Assumptions!$B$6,0)</f>
        <v>0</v>
      </c>
      <c r="I6" s="11">
        <f>IF(8&lt;=Assumptions!$B$22,I22*Assumptions!$B$39*Assumptions!$B$19*Assumptions!$B$6,0)</f>
        <v>0</v>
      </c>
      <c r="J6" s="11">
        <f>IF(9&lt;=Assumptions!$B$22,J22*Assumptions!$B$39*Assumptions!$B$19*Assumptions!$B$6,0)</f>
        <v>0</v>
      </c>
      <c r="K6" s="11">
        <f>IF(10&lt;=Assumptions!$B$22,K22*Assumptions!$B$39*Assumptions!$B$19*Assumptions!$B$6,0)</f>
        <v>0</v>
      </c>
      <c r="L6" s="21">
        <f t="shared" si="1"/>
        <v>90579496.26</v>
      </c>
    </row>
    <row r="7" ht="15.0" customHeight="1">
      <c r="A7" s="20" t="s">
        <v>132</v>
      </c>
      <c r="B7" s="11">
        <f>'Year 1 Monthly'!O26</f>
        <v>21654851.61</v>
      </c>
      <c r="C7" s="11">
        <f>IF(2&lt;=Assumptions!$B$22,C23*Assumptions!$B$39*Assumptions!$B$21*Assumptions!$B$6,0)</f>
        <v>26821036.51</v>
      </c>
      <c r="D7" s="11">
        <f>IF(3&lt;=Assumptions!$B$22,D23*Assumptions!$B$39*Assumptions!$B$21*Assumptions!$B$6,0)</f>
        <v>33817828.65</v>
      </c>
      <c r="E7" s="11">
        <f>IF(4&lt;=Assumptions!$B$22,E23*Assumptions!$B$39*Assumptions!$B$21*Assumptions!$B$6,0)</f>
        <v>0</v>
      </c>
      <c r="F7" s="11">
        <f>IF(5&lt;=Assumptions!$B$22,F23*Assumptions!$B$39*Assumptions!$B$21*Assumptions!$B$6,0)</f>
        <v>0</v>
      </c>
      <c r="G7" s="11">
        <f>IF(6&lt;=Assumptions!$B$22,G23*Assumptions!$B$39*Assumptions!$B$21*Assumptions!$B$6,0)</f>
        <v>0</v>
      </c>
      <c r="H7" s="11">
        <f>IF(7&lt;=Assumptions!$B$22,H23*Assumptions!$B$39*Assumptions!$B$21*Assumptions!$B$6,0)</f>
        <v>0</v>
      </c>
      <c r="I7" s="11">
        <f>IF(8&lt;=Assumptions!$B$22,I23*Assumptions!$B$39*Assumptions!$B$21*Assumptions!$B$6,0)</f>
        <v>0</v>
      </c>
      <c r="J7" s="11">
        <f>IF(9&lt;=Assumptions!$B$22,J23*Assumptions!$B$39*Assumptions!$B$21*Assumptions!$B$6,0)</f>
        <v>0</v>
      </c>
      <c r="K7" s="11">
        <f>IF(10&lt;=Assumptions!$B$22,K23*Assumptions!$B$39*Assumptions!$B$21*Assumptions!$B$6,0)</f>
        <v>0</v>
      </c>
      <c r="L7" s="21">
        <f t="shared" si="1"/>
        <v>82293716.78</v>
      </c>
    </row>
    <row r="8" ht="15.0" customHeight="1">
      <c r="A8" s="20" t="s">
        <v>133</v>
      </c>
      <c r="B8" s="11">
        <f>'Year 1 Monthly'!O27</f>
        <v>0</v>
      </c>
      <c r="C8" s="11">
        <f>'Money Saved'!C10*2/12*Assumptions!$B$23</f>
        <v>0</v>
      </c>
      <c r="D8" s="11">
        <f>'Money Saved'!D10*2/12*Assumptions!$B$23</f>
        <v>0</v>
      </c>
      <c r="E8" s="11">
        <f>'Money Saved'!E10*2/12*Assumptions!$B$23</f>
        <v>0</v>
      </c>
      <c r="F8" s="11">
        <f>'Money Saved'!F10*2/12*Assumptions!$B$23</f>
        <v>0</v>
      </c>
      <c r="G8" s="11">
        <f>'Money Saved'!G10*2/12*Assumptions!$B$23</f>
        <v>0</v>
      </c>
      <c r="H8" s="11">
        <f>'Money Saved'!H10*2/12*Assumptions!$B$23</f>
        <v>0</v>
      </c>
      <c r="I8" s="11">
        <f>'Money Saved'!I10*2/12*Assumptions!$B$23</f>
        <v>0</v>
      </c>
      <c r="J8" s="11">
        <f>'Money Saved'!J10*2/12*Assumptions!$B$23</f>
        <v>0</v>
      </c>
      <c r="K8" s="11">
        <f>'Money Saved'!K10*2/12*Assumptions!$B$23</f>
        <v>0</v>
      </c>
      <c r="L8" s="21">
        <f t="shared" si="1"/>
        <v>0</v>
      </c>
    </row>
    <row r="9" ht="15.0" customHeight="1">
      <c r="A9" s="20" t="s">
        <v>134</v>
      </c>
      <c r="B9" s="11">
        <f>'Year 1 Monthly'!O28+'Year 1 Monthly'!O29</f>
        <v>3122942.763</v>
      </c>
      <c r="C9" s="11">
        <f>'Money Saved'!C13*Assumptions!$B$13*Assumptions!$B$70+'Money Saved'!C10*Assumptions!$B$55</f>
        <v>16708738.35</v>
      </c>
      <c r="D9" s="11">
        <f>'Money Saved'!D13*Assumptions!$B$13*Assumptions!$B$70+'Money Saved'!D10*Assumptions!$B$55</f>
        <v>23869626.21</v>
      </c>
      <c r="E9" s="11">
        <f>'Money Saved'!E13*Assumptions!$B$13*Assumptions!$B$70+'Money Saved'!E10*Assumptions!$B$55</f>
        <v>28643551.46</v>
      </c>
      <c r="F9" s="11">
        <f>'Money Saved'!F13*Assumptions!$B$13*Assumptions!$B$70+'Money Saved'!F10*Assumptions!$B$55</f>
        <v>31030514.08</v>
      </c>
      <c r="G9" s="11">
        <f>'Money Saved'!G13*Assumptions!$B$13*Assumptions!$B$70+'Money Saved'!G10*Assumptions!$B$55</f>
        <v>31030514.08</v>
      </c>
      <c r="H9" s="11">
        <f>'Money Saved'!H13*Assumptions!$B$13*Assumptions!$B$70+'Money Saved'!H10*Assumptions!$B$55</f>
        <v>31030514.08</v>
      </c>
      <c r="I9" s="11">
        <f>'Money Saved'!I13*Assumptions!$B$13*Assumptions!$B$70+'Money Saved'!I10*Assumptions!$B$55</f>
        <v>31030514.08</v>
      </c>
      <c r="J9" s="11">
        <f>'Money Saved'!J13*Assumptions!$B$13*Assumptions!$B$70+'Money Saved'!J10*Assumptions!$B$55</f>
        <v>31030514.08</v>
      </c>
      <c r="K9" s="11">
        <f>'Money Saved'!K13*Assumptions!$B$13*Assumptions!$B$70+'Money Saved'!K10*Assumptions!$B$55</f>
        <v>31030514.08</v>
      </c>
      <c r="L9" s="21">
        <f t="shared" si="1"/>
        <v>258527943.3</v>
      </c>
    </row>
    <row r="10" ht="15.0" customHeight="1">
      <c r="A10" s="20" t="s">
        <v>135</v>
      </c>
      <c r="B10" s="11">
        <f>'Year 1 Monthly'!O30+'Year 1 Monthly'!O31+'Year 1 Monthly'!O32</f>
        <v>3625310.141</v>
      </c>
      <c r="C10" s="11">
        <f>'Money Saved'!C13*Assumptions!$B$13*Assumptions!$B$57*Assumptions!$B$58+'Money Saved'!C10*Assumptions!$B$56*Assumptions!$B$6+'Money Saved'!C10/Assumptions!$B$13*Assumptions!$B$60*Assumptions!$B$59/1000000*Assumptions!$B$61*12</f>
        <v>19396563.81</v>
      </c>
      <c r="D10" s="11">
        <f>'Money Saved'!D13*Assumptions!$B$13*Assumptions!$B$57*Assumptions!$B$58+'Money Saved'!D10*Assumptions!$B$56*Assumptions!$B$6+'Money Saved'!D10/Assumptions!$B$13*Assumptions!$B$60*Assumptions!$B$59/1000000*Assumptions!$B$61*12</f>
        <v>27709376.87</v>
      </c>
      <c r="E10" s="11">
        <f>'Money Saved'!E13*Assumptions!$B$13*Assumptions!$B$57*Assumptions!$B$58+'Money Saved'!E10*Assumptions!$B$56*Assumptions!$B$6+'Money Saved'!E10/Assumptions!$B$13*Assumptions!$B$60*Assumptions!$B$59/1000000*Assumptions!$B$61*12</f>
        <v>33251252.24</v>
      </c>
      <c r="F10" s="11">
        <f>'Money Saved'!F13*Assumptions!$B$13*Assumptions!$B$57*Assumptions!$B$58+'Money Saved'!F10*Assumptions!$B$56*Assumptions!$B$6+'Money Saved'!F10/Assumptions!$B$13*Assumptions!$B$60*Assumptions!$B$59/1000000*Assumptions!$B$61*12</f>
        <v>36022189.93</v>
      </c>
      <c r="G10" s="11">
        <f>'Money Saved'!G13*Assumptions!$B$13*Assumptions!$B$57*Assumptions!$B$58+'Money Saved'!G10*Assumptions!$B$56*Assumptions!$B$6+'Money Saved'!G10/Assumptions!$B$13*Assumptions!$B$60*Assumptions!$B$59/1000000*Assumptions!$B$61*12</f>
        <v>36022189.93</v>
      </c>
      <c r="H10" s="11">
        <f>'Money Saved'!H13*Assumptions!$B$13*Assumptions!$B$57*Assumptions!$B$58+'Money Saved'!H10*Assumptions!$B$56*Assumptions!$B$6+'Money Saved'!H10/Assumptions!$B$13*Assumptions!$B$60*Assumptions!$B$59/1000000*Assumptions!$B$61*12</f>
        <v>36022189.93</v>
      </c>
      <c r="I10" s="11">
        <f>'Money Saved'!I13*Assumptions!$B$13*Assumptions!$B$57*Assumptions!$B$58+'Money Saved'!I10*Assumptions!$B$56*Assumptions!$B$6+'Money Saved'!I10/Assumptions!$B$13*Assumptions!$B$60*Assumptions!$B$59/1000000*Assumptions!$B$61*12</f>
        <v>36022189.93</v>
      </c>
      <c r="J10" s="11">
        <f>'Money Saved'!J13*Assumptions!$B$13*Assumptions!$B$57*Assumptions!$B$58+'Money Saved'!J10*Assumptions!$B$56*Assumptions!$B$6+'Money Saved'!J10/Assumptions!$B$13*Assumptions!$B$60*Assumptions!$B$59/1000000*Assumptions!$B$61*12</f>
        <v>36022189.93</v>
      </c>
      <c r="K10" s="11">
        <f>'Money Saved'!K13*Assumptions!$B$13*Assumptions!$B$57*Assumptions!$B$58+'Money Saved'!K10*Assumptions!$B$56*Assumptions!$B$6+'Money Saved'!K10/Assumptions!$B$13*Assumptions!$B$60*Assumptions!$B$59/1000000*Assumptions!$B$61*12</f>
        <v>36022189.93</v>
      </c>
      <c r="L10" s="21">
        <f t="shared" si="1"/>
        <v>300115642.7</v>
      </c>
    </row>
    <row r="11" ht="15.0" customHeight="1">
      <c r="A11" s="20" t="s">
        <v>136</v>
      </c>
      <c r="B11" s="11">
        <f>'Year 1 Monthly'!O33</f>
        <v>4480000</v>
      </c>
      <c r="C11" s="11">
        <f>C19*Assumptions!$B$68</f>
        <v>3360000</v>
      </c>
      <c r="D11" s="11">
        <f>D19*Assumptions!$B$68</f>
        <v>3360000</v>
      </c>
      <c r="E11" s="11">
        <f>E19*Assumptions!$B$68</f>
        <v>2240000</v>
      </c>
      <c r="F11" s="11">
        <f>F19*Assumptions!$B$68</f>
        <v>1120000</v>
      </c>
      <c r="G11" s="11">
        <f>G19*Assumptions!$B$68</f>
        <v>0</v>
      </c>
      <c r="H11" s="11">
        <f>H19*Assumptions!$B$68</f>
        <v>0</v>
      </c>
      <c r="I11" s="11">
        <f>I19*Assumptions!$B$68</f>
        <v>0</v>
      </c>
      <c r="J11" s="11">
        <f>J19*Assumptions!$B$68</f>
        <v>0</v>
      </c>
      <c r="K11" s="11">
        <f>K19*Assumptions!$B$68</f>
        <v>0</v>
      </c>
      <c r="L11" s="21">
        <f t="shared" si="1"/>
        <v>14560000</v>
      </c>
    </row>
    <row r="12" ht="15.0" customHeight="1">
      <c r="A12" s="20" t="s">
        <v>137</v>
      </c>
      <c r="B12" s="11">
        <f>'Year 1 Monthly'!O34</f>
        <v>6018668.187</v>
      </c>
      <c r="C12" s="11">
        <f>SUM(C6:C11)*Assumptions!$B$62</f>
        <v>9427376.434</v>
      </c>
      <c r="D12" s="11">
        <f>SUM(D6:D11)*Assumptions!$B$62</f>
        <v>12404532.5</v>
      </c>
      <c r="E12" s="11">
        <f>SUM(E6:E11)*Assumptions!$B$62</f>
        <v>6413480.37</v>
      </c>
      <c r="F12" s="11">
        <f>SUM(F6:F11)*Assumptions!$B$62</f>
        <v>6817270.401</v>
      </c>
      <c r="G12" s="11">
        <f>SUM(G6:G11)*Assumptions!$B$62</f>
        <v>6705270.401</v>
      </c>
      <c r="H12" s="11">
        <f>SUM(H6:H11)*Assumptions!$B$62</f>
        <v>6705270.401</v>
      </c>
      <c r="I12" s="11">
        <f>SUM(I6:I11)*Assumptions!$B$62</f>
        <v>6705270.401</v>
      </c>
      <c r="J12" s="11">
        <f>SUM(J6:J11)*Assumptions!$B$62</f>
        <v>6705270.401</v>
      </c>
      <c r="K12" s="11">
        <f>SUM(K6:K11)*Assumptions!$B$62</f>
        <v>6705270.401</v>
      </c>
      <c r="L12" s="21">
        <f t="shared" si="1"/>
        <v>74607679.9</v>
      </c>
    </row>
    <row r="13" ht="15.0" customHeight="1">
      <c r="A13" s="20" t="s">
        <v>138</v>
      </c>
      <c r="B13" s="11">
        <f>'Year 1 Monthly'!O35+'Year 1 Monthly'!O36+'Year 1 Monthly'!O37</f>
        <v>1750000</v>
      </c>
      <c r="C13" s="11">
        <f t="shared" ref="C13:K13" si="2">0</f>
        <v>0</v>
      </c>
      <c r="D13" s="11">
        <f t="shared" si="2"/>
        <v>0</v>
      </c>
      <c r="E13" s="11">
        <f t="shared" si="2"/>
        <v>0</v>
      </c>
      <c r="F13" s="11">
        <f t="shared" si="2"/>
        <v>0</v>
      </c>
      <c r="G13" s="11">
        <f t="shared" si="2"/>
        <v>0</v>
      </c>
      <c r="H13" s="11">
        <f t="shared" si="2"/>
        <v>0</v>
      </c>
      <c r="I13" s="11">
        <f t="shared" si="2"/>
        <v>0</v>
      </c>
      <c r="J13" s="11">
        <f t="shared" si="2"/>
        <v>0</v>
      </c>
      <c r="K13" s="11">
        <f t="shared" si="2"/>
        <v>0</v>
      </c>
      <c r="L13" s="21">
        <f t="shared" si="1"/>
        <v>1750000</v>
      </c>
    </row>
    <row r="14" ht="15.0" customHeight="1">
      <c r="A14" s="22" t="s">
        <v>126</v>
      </c>
      <c r="B14" s="21">
        <f t="shared" ref="B14:K14" si="3">SUM(B3:B13)</f>
        <v>195044859.1</v>
      </c>
      <c r="C14" s="21">
        <f t="shared" si="3"/>
        <v>783670488.3</v>
      </c>
      <c r="D14" s="21">
        <f t="shared" si="3"/>
        <v>1107834640</v>
      </c>
      <c r="E14" s="21">
        <f t="shared" si="3"/>
        <v>1236210023</v>
      </c>
      <c r="F14" s="21">
        <f t="shared" si="3"/>
        <v>1337790191</v>
      </c>
      <c r="G14" s="21">
        <f t="shared" si="3"/>
        <v>1336558191</v>
      </c>
      <c r="H14" s="21">
        <f t="shared" si="3"/>
        <v>1336558191</v>
      </c>
      <c r="I14" s="21">
        <f t="shared" si="3"/>
        <v>1336558191</v>
      </c>
      <c r="J14" s="21">
        <f t="shared" si="3"/>
        <v>1336558191</v>
      </c>
      <c r="K14" s="21">
        <f t="shared" si="3"/>
        <v>1336558191</v>
      </c>
      <c r="L14" s="21">
        <f t="shared" si="1"/>
        <v>11343341157</v>
      </c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ht="19.5" customHeight="1">
      <c r="A16" s="1" t="s">
        <v>139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15.0" customHeight="1">
      <c r="A17" s="4" t="s">
        <v>120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ht="15.0" customHeight="1">
      <c r="A18" s="20" t="s">
        <v>140</v>
      </c>
      <c r="B18" s="7">
        <f>'Year 1 Monthly'!N7</f>
        <v>2240</v>
      </c>
      <c r="C18" s="7">
        <f>ROUNDUP('Money Saved'!C13/Assumptions!$B$42,0)</f>
        <v>3920</v>
      </c>
      <c r="D18" s="7">
        <f>ROUNDUP('Money Saved'!D13/Assumptions!$B$42,0)</f>
        <v>5600</v>
      </c>
      <c r="E18" s="7">
        <f>ROUNDUP('Money Saved'!E13/Assumptions!$B$42,0)</f>
        <v>6720</v>
      </c>
      <c r="F18" s="7">
        <f>ROUNDUP('Money Saved'!F13/Assumptions!$B$42,0)</f>
        <v>7280</v>
      </c>
      <c r="G18" s="7">
        <f>ROUNDUP('Money Saved'!G13/Assumptions!$B$42,0)</f>
        <v>7280</v>
      </c>
      <c r="H18" s="7">
        <f>ROUNDUP('Money Saved'!H13/Assumptions!$B$42,0)</f>
        <v>7280</v>
      </c>
      <c r="I18" s="7">
        <f>ROUNDUP('Money Saved'!I13/Assumptions!$B$42,0)</f>
        <v>7280</v>
      </c>
      <c r="J18" s="7">
        <f>ROUNDUP('Money Saved'!J13/Assumptions!$B$42,0)</f>
        <v>7280</v>
      </c>
      <c r="K18" s="7">
        <f>ROUNDUP('Money Saved'!K13/Assumptions!$B$42,0)</f>
        <v>7280</v>
      </c>
      <c r="L18" s="24">
        <f>K18</f>
        <v>7280</v>
      </c>
    </row>
    <row r="19" ht="15.0" customHeight="1">
      <c r="A19" s="20" t="s">
        <v>141</v>
      </c>
      <c r="B19" s="7">
        <f>'Year 1 Monthly'!O8</f>
        <v>2240</v>
      </c>
      <c r="C19" s="7">
        <f t="shared" ref="C19:K19" si="4">MAX(0,C18-B18)</f>
        <v>1680</v>
      </c>
      <c r="D19" s="7">
        <f t="shared" si="4"/>
        <v>1680</v>
      </c>
      <c r="E19" s="7">
        <f t="shared" si="4"/>
        <v>1120</v>
      </c>
      <c r="F19" s="7">
        <f t="shared" si="4"/>
        <v>560</v>
      </c>
      <c r="G19" s="7">
        <f t="shared" si="4"/>
        <v>0</v>
      </c>
      <c r="H19" s="7">
        <f t="shared" si="4"/>
        <v>0</v>
      </c>
      <c r="I19" s="7">
        <f t="shared" si="4"/>
        <v>0</v>
      </c>
      <c r="J19" s="7">
        <f t="shared" si="4"/>
        <v>0</v>
      </c>
      <c r="K19" s="7">
        <f t="shared" si="4"/>
        <v>0</v>
      </c>
      <c r="L19" s="24">
        <f>SUM(B19:K19)</f>
        <v>7280</v>
      </c>
    </row>
    <row r="20" ht="15.0" customHeight="1">
      <c r="A20" s="20" t="s">
        <v>142</v>
      </c>
      <c r="B20" s="11">
        <f>'Year 1 Monthly'!N7*Assumptions!$B$25</f>
        <v>11200000</v>
      </c>
      <c r="C20" s="11">
        <f>C18*Assumptions!$B$25</f>
        <v>19600000</v>
      </c>
      <c r="D20" s="11">
        <f>D18*Assumptions!$B$25</f>
        <v>28000000</v>
      </c>
      <c r="E20" s="11">
        <f>E18*Assumptions!$B$25</f>
        <v>33600000</v>
      </c>
      <c r="F20" s="11">
        <f>F18*Assumptions!$B$25</f>
        <v>36400000</v>
      </c>
      <c r="G20" s="11">
        <f>G18*Assumptions!$B$25</f>
        <v>36400000</v>
      </c>
      <c r="H20" s="11">
        <f>H18*Assumptions!$B$25</f>
        <v>36400000</v>
      </c>
      <c r="I20" s="11">
        <f>I18*Assumptions!$B$25</f>
        <v>36400000</v>
      </c>
      <c r="J20" s="11">
        <f>J18*Assumptions!$B$25</f>
        <v>36400000</v>
      </c>
      <c r="K20" s="11">
        <f>K18*Assumptions!$B$25</f>
        <v>36400000</v>
      </c>
      <c r="L20" s="21">
        <f t="shared" ref="L20:L21" si="5">K20</f>
        <v>36400000</v>
      </c>
    </row>
    <row r="21" ht="15.0" customHeight="1">
      <c r="A21" s="20" t="s">
        <v>143</v>
      </c>
      <c r="B21" s="7">
        <f>'Year 1 Monthly'!O10</f>
        <v>2381359.223</v>
      </c>
      <c r="C21" s="7">
        <f>'Money Saved'!C13*Assumptions!$B$13/Assumptions!$B$40</f>
        <v>4167378.641</v>
      </c>
      <c r="D21" s="7">
        <f>'Money Saved'!D13*Assumptions!$B$13/Assumptions!$B$40</f>
        <v>5953398.058</v>
      </c>
      <c r="E21" s="7">
        <f>'Money Saved'!E13*Assumptions!$B$13/Assumptions!$B$40</f>
        <v>7144077.67</v>
      </c>
      <c r="F21" s="7">
        <f>'Money Saved'!F13*Assumptions!$B$13/Assumptions!$B$40</f>
        <v>7739417.476</v>
      </c>
      <c r="G21" s="7">
        <f>'Money Saved'!G13*Assumptions!$B$13/Assumptions!$B$40</f>
        <v>7739417.476</v>
      </c>
      <c r="H21" s="7">
        <f>'Money Saved'!H13*Assumptions!$B$13/Assumptions!$B$40</f>
        <v>7739417.476</v>
      </c>
      <c r="I21" s="7">
        <f>'Money Saved'!I13*Assumptions!$B$13/Assumptions!$B$40</f>
        <v>7739417.476</v>
      </c>
      <c r="J21" s="7">
        <f>'Money Saved'!J13*Assumptions!$B$13/Assumptions!$B$40</f>
        <v>7739417.476</v>
      </c>
      <c r="K21" s="7">
        <f>'Money Saved'!K13*Assumptions!$B$13/Assumptions!$B$40</f>
        <v>7739417.476</v>
      </c>
      <c r="L21" s="24">
        <f t="shared" si="5"/>
        <v>7739417.476</v>
      </c>
    </row>
    <row r="22" ht="23.25" customHeight="1">
      <c r="A22" s="20" t="s">
        <v>144</v>
      </c>
      <c r="B22" s="7">
        <f>'Year 1 Monthly'!O11</f>
        <v>2671648.708</v>
      </c>
      <c r="C22" s="7">
        <f>MAX(0,C21-B21*(1-Assumptions!$B$41))</f>
        <v>2738563.107</v>
      </c>
      <c r="D22" s="7">
        <f>MAX(0,D21-C21*(1-Assumptions!$B$41))</f>
        <v>3452970.874</v>
      </c>
      <c r="E22" s="7">
        <f>MAX(0,E21-D21*(1-Assumptions!$B$41))</f>
        <v>3572038.835</v>
      </c>
      <c r="F22" s="7">
        <f>MAX(0,F21-E21*(1-Assumptions!$B$41))</f>
        <v>3452970.874</v>
      </c>
      <c r="G22" s="7">
        <f>MAX(0,G21-F21*(1-Assumptions!$B$41))</f>
        <v>3095766.99</v>
      </c>
      <c r="H22" s="7">
        <f>MAX(0,H21-G21*(1-Assumptions!$B$41))</f>
        <v>3095766.99</v>
      </c>
      <c r="I22" s="7">
        <f>MAX(0,I21-H21*(1-Assumptions!$B$41))</f>
        <v>3095766.99</v>
      </c>
      <c r="J22" s="7">
        <f>MAX(0,J21-I21*(1-Assumptions!$B$41))</f>
        <v>3095766.99</v>
      </c>
      <c r="K22" s="7">
        <f>MAX(0,K21-J21*(1-Assumptions!$B$41))</f>
        <v>3095766.99</v>
      </c>
      <c r="L22" s="24">
        <f t="shared" ref="L22:L23" si="6">SUM(B22:K22)</f>
        <v>31367027.35</v>
      </c>
    </row>
    <row r="23" ht="15.0" customHeight="1">
      <c r="A23" s="20" t="s">
        <v>145</v>
      </c>
      <c r="B23" s="7">
        <f>'Year 1 Monthly'!O12</f>
        <v>2118922.205</v>
      </c>
      <c r="C23" s="7">
        <f>IF(Assumptions!$B$20="Yes",C22*(1-Assumptions!$B$73),0)</f>
        <v>2624432.198</v>
      </c>
      <c r="D23" s="7">
        <f>IF(Assumptions!$B$20="Yes",D22*(1-Assumptions!$B$73),0)</f>
        <v>3309066.685</v>
      </c>
      <c r="E23" s="7">
        <f>IF(Assumptions!$B$20="Yes",E22*(1-Assumptions!$B$73),0)</f>
        <v>3423172.433</v>
      </c>
      <c r="F23" s="7">
        <f>IF(Assumptions!$B$20="Yes",F22*(1-Assumptions!$B$73),0)</f>
        <v>3309066.685</v>
      </c>
      <c r="G23" s="7">
        <f>IF(Assumptions!$B$20="Yes",G22*(1-Assumptions!$B$73),0)</f>
        <v>2966749.442</v>
      </c>
      <c r="H23" s="7">
        <f>IF(Assumptions!$B$20="Yes",H22*(1-Assumptions!$B$73),0)</f>
        <v>2966749.442</v>
      </c>
      <c r="I23" s="7">
        <f>IF(Assumptions!$B$20="Yes",I22*(1-Assumptions!$B$73),0)</f>
        <v>2966749.442</v>
      </c>
      <c r="J23" s="7">
        <f>IF(Assumptions!$B$20="Yes",J22*(1-Assumptions!$B$73),0)</f>
        <v>2966749.442</v>
      </c>
      <c r="K23" s="7">
        <f>IF(Assumptions!$B$20="Yes",K22*(1-Assumptions!$B$73),0)</f>
        <v>2966749.442</v>
      </c>
      <c r="L23" s="24">
        <f t="shared" si="6"/>
        <v>29618407.41</v>
      </c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L1"/>
    <mergeCell ref="A16:L16"/>
  </mergeCells>
  <printOptions/>
  <pageMargins bottom="1.0" footer="0.0" header="0.0" left="0.75" right="0.75" top="1.0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0"/>
    <col customWidth="1" min="2" max="2" width="15.0"/>
    <col customWidth="1" min="3" max="3" width="20.0"/>
    <col customWidth="1" min="4" max="11" width="15.0"/>
    <col customWidth="1" min="12" max="12" width="17.0"/>
  </cols>
  <sheetData>
    <row r="1" ht="19.5" customHeight="1">
      <c r="A1" s="1" t="str">
        <f>"Payback - "&amp;TEXT(Assumptions!$B$19,"0%")&amp;" off the 1st pickup order"&amp;IF(Assumptions!$B$20="Yes",", "&amp;TEXT(Assumptions!$B$21,"0%")&amp;" off the 2nd","")&amp;IF(Assumptions!$B$22&lt;10,", discounts for "&amp;Assumptions!$B$22&amp;" year(s)","")</f>
        <v>Payback - 5% off the 1st pickup order, 5% off the 2nd, discounts for 3 year(s)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" t="s">
        <v>120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 t="s">
        <v>116</v>
      </c>
    </row>
    <row r="3" ht="15.0" customHeight="1">
      <c r="A3" s="20" t="s">
        <v>104</v>
      </c>
      <c r="B3" s="11">
        <f>'Money Saved'!B5</f>
        <v>133541764.8</v>
      </c>
      <c r="C3" s="11">
        <f>'Money Saved'!C5</f>
        <v>719668723.1</v>
      </c>
      <c r="D3" s="11">
        <f>'Money Saved'!D5</f>
        <v>1039547347</v>
      </c>
      <c r="E3" s="11">
        <f>'Money Saved'!E5</f>
        <v>1261195823</v>
      </c>
      <c r="F3" s="11">
        <f>'Money Saved'!F5</f>
        <v>1381179398</v>
      </c>
      <c r="G3" s="11">
        <f>'Money Saved'!G5</f>
        <v>1389241523</v>
      </c>
      <c r="H3" s="11">
        <f>'Money Saved'!H5</f>
        <v>1389241523</v>
      </c>
      <c r="I3" s="11">
        <f>'Money Saved'!I5</f>
        <v>1389241523</v>
      </c>
      <c r="J3" s="11">
        <f>'Money Saved'!J5</f>
        <v>1389241523</v>
      </c>
      <c r="K3" s="11">
        <f>'Money Saved'!K5</f>
        <v>1389241523</v>
      </c>
      <c r="L3" s="21">
        <f t="shared" ref="L3:L5" si="1">SUM(B3:K3)</f>
        <v>11481340669</v>
      </c>
    </row>
    <row r="4" ht="15.0" customHeight="1">
      <c r="A4" s="20" t="s">
        <v>126</v>
      </c>
      <c r="B4" s="11">
        <f>Costs!B14</f>
        <v>195044859.1</v>
      </c>
      <c r="C4" s="11">
        <f>Costs!C14</f>
        <v>783670488.3</v>
      </c>
      <c r="D4" s="11">
        <f>Costs!D14</f>
        <v>1107834640</v>
      </c>
      <c r="E4" s="11">
        <f>Costs!E14</f>
        <v>1236210023</v>
      </c>
      <c r="F4" s="11">
        <f>Costs!F14</f>
        <v>1337790191</v>
      </c>
      <c r="G4" s="11">
        <f>Costs!G14</f>
        <v>1336558191</v>
      </c>
      <c r="H4" s="11">
        <f>Costs!H14</f>
        <v>1336558191</v>
      </c>
      <c r="I4" s="11">
        <f>Costs!I14</f>
        <v>1336558191</v>
      </c>
      <c r="J4" s="11">
        <f>Costs!J14</f>
        <v>1336558191</v>
      </c>
      <c r="K4" s="11">
        <f>Costs!K14</f>
        <v>1336558191</v>
      </c>
      <c r="L4" s="21">
        <f t="shared" si="1"/>
        <v>11343341157</v>
      </c>
    </row>
    <row r="5" ht="15.0" customHeight="1">
      <c r="A5" s="22" t="s">
        <v>146</v>
      </c>
      <c r="B5" s="21">
        <f t="shared" ref="B5:K5" si="2">B3-B4</f>
        <v>-61503094.24</v>
      </c>
      <c r="C5" s="21">
        <f t="shared" si="2"/>
        <v>-64001765.17</v>
      </c>
      <c r="D5" s="21">
        <f t="shared" si="2"/>
        <v>-68287292.21</v>
      </c>
      <c r="E5" s="21">
        <f t="shared" si="2"/>
        <v>24985800.07</v>
      </c>
      <c r="F5" s="21">
        <f t="shared" si="2"/>
        <v>43389206.39</v>
      </c>
      <c r="G5" s="21">
        <f t="shared" si="2"/>
        <v>52683331.34</v>
      </c>
      <c r="H5" s="21">
        <f t="shared" si="2"/>
        <v>52683331.34</v>
      </c>
      <c r="I5" s="21">
        <f t="shared" si="2"/>
        <v>52683331.34</v>
      </c>
      <c r="J5" s="21">
        <f t="shared" si="2"/>
        <v>52683331.34</v>
      </c>
      <c r="K5" s="21">
        <f t="shared" si="2"/>
        <v>52683331.34</v>
      </c>
      <c r="L5" s="21">
        <f t="shared" si="1"/>
        <v>137999511.5</v>
      </c>
    </row>
    <row r="6" ht="15.0" customHeight="1">
      <c r="A6" s="20" t="s">
        <v>147</v>
      </c>
      <c r="B6" s="11">
        <f>B5</f>
        <v>-61503094.24</v>
      </c>
      <c r="C6" s="11">
        <f t="shared" ref="C6:K6" si="3">B6+C5</f>
        <v>-125504859.4</v>
      </c>
      <c r="D6" s="11">
        <f t="shared" si="3"/>
        <v>-193792151.6</v>
      </c>
      <c r="E6" s="11">
        <f t="shared" si="3"/>
        <v>-168806351.5</v>
      </c>
      <c r="F6" s="11">
        <f t="shared" si="3"/>
        <v>-125417145.2</v>
      </c>
      <c r="G6" s="11">
        <f t="shared" si="3"/>
        <v>-72733813.82</v>
      </c>
      <c r="H6" s="11">
        <f t="shared" si="3"/>
        <v>-20050482.48</v>
      </c>
      <c r="I6" s="11">
        <f t="shared" si="3"/>
        <v>32632848.86</v>
      </c>
      <c r="J6" s="11">
        <f t="shared" si="3"/>
        <v>85316180.2</v>
      </c>
      <c r="K6" s="11">
        <f t="shared" si="3"/>
        <v>137999511.5</v>
      </c>
      <c r="L6" s="21">
        <f>K6</f>
        <v>137999511.5</v>
      </c>
    </row>
    <row r="7" ht="15.0" customHeight="1">
      <c r="A7" s="20" t="s">
        <v>148</v>
      </c>
      <c r="B7" s="8" t="str">
        <f t="shared" ref="B7:K7" si="4">IF(B6&gt;=0,"Yes","No")</f>
        <v>No</v>
      </c>
      <c r="C7" s="8" t="str">
        <f t="shared" si="4"/>
        <v>No</v>
      </c>
      <c r="D7" s="8" t="str">
        <f t="shared" si="4"/>
        <v>No</v>
      </c>
      <c r="E7" s="8" t="str">
        <f t="shared" si="4"/>
        <v>No</v>
      </c>
      <c r="F7" s="8" t="str">
        <f t="shared" si="4"/>
        <v>No</v>
      </c>
      <c r="G7" s="8" t="str">
        <f t="shared" si="4"/>
        <v>No</v>
      </c>
      <c r="H7" s="8" t="str">
        <f t="shared" si="4"/>
        <v>No</v>
      </c>
      <c r="I7" s="8" t="str">
        <f t="shared" si="4"/>
        <v>Yes</v>
      </c>
      <c r="J7" s="8" t="str">
        <f t="shared" si="4"/>
        <v>Yes</v>
      </c>
      <c r="K7" s="8" t="str">
        <f t="shared" si="4"/>
        <v>Yes</v>
      </c>
      <c r="L7" s="20"/>
    </row>
    <row r="8" ht="15.0" customHeight="1">
      <c r="A8" s="20" t="s">
        <v>149</v>
      </c>
      <c r="B8" s="26">
        <f t="shared" ref="B8:K8" si="5">B3/B4</f>
        <v>0.6846720568</v>
      </c>
      <c r="C8" s="26">
        <f t="shared" si="5"/>
        <v>0.9183307702</v>
      </c>
      <c r="D8" s="26">
        <f t="shared" si="5"/>
        <v>0.9383596705</v>
      </c>
      <c r="E8" s="26">
        <f t="shared" si="5"/>
        <v>1.020211614</v>
      </c>
      <c r="F8" s="26">
        <f t="shared" si="5"/>
        <v>1.032433491</v>
      </c>
      <c r="G8" s="26">
        <f t="shared" si="5"/>
        <v>1.039417162</v>
      </c>
      <c r="H8" s="26">
        <f t="shared" si="5"/>
        <v>1.039417162</v>
      </c>
      <c r="I8" s="26">
        <f t="shared" si="5"/>
        <v>1.039417162</v>
      </c>
      <c r="J8" s="26">
        <f t="shared" si="5"/>
        <v>1.039417162</v>
      </c>
      <c r="K8" s="26">
        <f t="shared" si="5"/>
        <v>1.039417162</v>
      </c>
      <c r="L8" s="27"/>
    </row>
    <row r="9" ht="15.0" customHeight="1">
      <c r="A9" s="20" t="s">
        <v>150</v>
      </c>
      <c r="B9" s="17" t="str">
        <f>IF(COUNT('Year 1 Monthly'!B44:N44)&gt;0,MIN('Year 1 Monthly'!B44:N44)/12,"")</f>
        <v/>
      </c>
      <c r="C9" s="17" t="str">
        <f>IF(AND(B6&lt;0,C6&gt;=0),1+(-B6)/C5,"")</f>
        <v/>
      </c>
      <c r="D9" s="17" t="str">
        <f>IF(AND(C6&lt;0,D6&gt;=0),2+(-C6)/D5,"")</f>
        <v/>
      </c>
      <c r="E9" s="17" t="str">
        <f>IF(AND(D6&lt;0,E6&gt;=0),3+(-D6)/E5,"")</f>
        <v/>
      </c>
      <c r="F9" s="17" t="str">
        <f>IF(AND(E6&lt;0,F6&gt;=0),4+(-E6)/F5,"")</f>
        <v/>
      </c>
      <c r="G9" s="17" t="str">
        <f>IF(AND(F6&lt;0,G6&gt;=0),5+(-F6)/G5,"")</f>
        <v/>
      </c>
      <c r="H9" s="17" t="str">
        <f>IF(AND(G6&lt;0,H6&gt;=0),6+(-G6)/H5,"")</f>
        <v/>
      </c>
      <c r="I9" s="17">
        <f>IF(AND(H6&lt;0,I6&gt;=0),7+(-H6)/I5,"")</f>
        <v>7.38058494</v>
      </c>
      <c r="J9" s="17" t="str">
        <f>IF(AND(I6&lt;0,J6&gt;=0),8+(-I6)/J5,"")</f>
        <v/>
      </c>
      <c r="K9" s="17" t="str">
        <f>IF(AND(J6&lt;0,K6&gt;=0),9+(-J6)/K5,"")</f>
        <v/>
      </c>
      <c r="L9" s="28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ht="19.5" customHeight="1">
      <c r="A11" s="1" t="s">
        <v>151</v>
      </c>
      <c r="B11" s="2"/>
      <c r="C11" s="3"/>
      <c r="D11" s="19"/>
      <c r="E11" s="19"/>
      <c r="F11" s="19"/>
      <c r="G11" s="19"/>
      <c r="H11" s="19"/>
      <c r="I11" s="19"/>
      <c r="J11" s="19"/>
      <c r="K11" s="19"/>
      <c r="L11" s="19"/>
    </row>
    <row r="12" ht="15.0" customHeight="1">
      <c r="A12" s="20" t="s">
        <v>152</v>
      </c>
      <c r="B12" s="29" t="str">
        <f>Assumptions!$B$20</f>
        <v>Yes</v>
      </c>
      <c r="C12" s="3"/>
      <c r="D12" s="19"/>
      <c r="E12" s="19"/>
      <c r="F12" s="19"/>
      <c r="G12" s="19"/>
      <c r="H12" s="19"/>
      <c r="I12" s="19"/>
      <c r="J12" s="19"/>
      <c r="K12" s="19"/>
      <c r="L12" s="19"/>
    </row>
    <row r="13" ht="15.0" customHeight="1">
      <c r="A13" s="20" t="s">
        <v>153</v>
      </c>
      <c r="B13" s="30">
        <f>Assumptions!$B$22</f>
        <v>3</v>
      </c>
      <c r="C13" s="3"/>
      <c r="D13" s="19"/>
      <c r="E13" s="19"/>
      <c r="F13" s="19"/>
      <c r="G13" s="19"/>
      <c r="H13" s="19"/>
      <c r="I13" s="19"/>
      <c r="J13" s="19"/>
      <c r="K13" s="19"/>
      <c r="L13" s="19"/>
    </row>
    <row r="14" ht="15.0" customHeight="1">
      <c r="A14" s="20" t="s">
        <v>154</v>
      </c>
      <c r="B14" s="31">
        <f>Costs!B13</f>
        <v>1750000</v>
      </c>
      <c r="C14" s="3"/>
      <c r="D14" s="19"/>
      <c r="E14" s="19"/>
      <c r="F14" s="19"/>
      <c r="G14" s="19"/>
      <c r="H14" s="19"/>
      <c r="I14" s="19"/>
      <c r="J14" s="19"/>
      <c r="K14" s="19"/>
      <c r="L14" s="19"/>
    </row>
    <row r="15" ht="15.0" customHeight="1">
      <c r="A15" s="20" t="s">
        <v>155</v>
      </c>
      <c r="B15" s="32">
        <f>IF(COUNT(B9:K9)=0,"Not within 10 years",MIN(B9:K9))</f>
        <v>7.38058494</v>
      </c>
      <c r="C15" s="3"/>
      <c r="D15" s="19"/>
      <c r="E15" s="19"/>
      <c r="F15" s="19"/>
      <c r="G15" s="19"/>
      <c r="H15" s="19"/>
      <c r="I15" s="19"/>
      <c r="J15" s="19"/>
      <c r="K15" s="19"/>
      <c r="L15" s="19"/>
    </row>
    <row r="16" ht="15.0" customHeight="1">
      <c r="A16" s="20" t="s">
        <v>156</v>
      </c>
      <c r="B16" s="29" t="str">
        <f>IF(ISNUMBER(B15),"M"&amp;ROUNDUP(B15*12,0)&amp;" ("&amp;TEXT(EDATE(DATE(2026,12,1),ROUNDUP(B15*12,0)),"mmm yyyy")&amp;")","-")</f>
        <v>M89 (May 2034)</v>
      </c>
      <c r="C16" s="3"/>
      <c r="D16" s="19"/>
      <c r="E16" s="19"/>
      <c r="F16" s="19"/>
      <c r="G16" s="19"/>
      <c r="H16" s="19"/>
      <c r="I16" s="19"/>
      <c r="J16" s="19"/>
      <c r="K16" s="19"/>
      <c r="L16" s="19"/>
    </row>
    <row r="17" ht="15.0" customHeight="1">
      <c r="A17" s="20" t="s">
        <v>157</v>
      </c>
      <c r="B17" s="31">
        <f>-MIN(0,MIN(B6:K6))</f>
        <v>193792151.6</v>
      </c>
      <c r="C17" s="3"/>
      <c r="D17" s="19"/>
      <c r="E17" s="19"/>
      <c r="F17" s="19"/>
      <c r="G17" s="19"/>
      <c r="H17" s="19"/>
      <c r="I17" s="19"/>
      <c r="J17" s="19"/>
      <c r="K17" s="19"/>
      <c r="L17" s="19"/>
    </row>
    <row r="18" ht="15.0" customHeight="1">
      <c r="A18" s="20" t="s">
        <v>158</v>
      </c>
      <c r="B18" s="31">
        <f>SUM(Costs!B6:B7)</f>
        <v>48958428.97</v>
      </c>
      <c r="C18" s="3"/>
      <c r="D18" s="19"/>
      <c r="E18" s="19"/>
      <c r="F18" s="19"/>
      <c r="G18" s="19"/>
      <c r="H18" s="19"/>
      <c r="I18" s="19"/>
      <c r="J18" s="19"/>
      <c r="K18" s="19"/>
      <c r="L18" s="19"/>
    </row>
    <row r="19" ht="15.0" customHeight="1">
      <c r="A19" s="20" t="s">
        <v>159</v>
      </c>
      <c r="B19" s="31">
        <f>SUM(Costs!L6:L7)</f>
        <v>172873213</v>
      </c>
      <c r="C19" s="3"/>
      <c r="D19" s="19"/>
      <c r="E19" s="19"/>
      <c r="F19" s="19"/>
      <c r="G19" s="19"/>
      <c r="H19" s="19"/>
      <c r="I19" s="19"/>
      <c r="J19" s="19"/>
      <c r="K19" s="19"/>
      <c r="L19" s="19"/>
    </row>
    <row r="20" ht="15.0" customHeight="1">
      <c r="A20" s="20" t="s">
        <v>160</v>
      </c>
      <c r="B20" s="31">
        <f>B5</f>
        <v>-61503094.24</v>
      </c>
      <c r="C20" s="3"/>
      <c r="D20" s="19"/>
      <c r="E20" s="19"/>
      <c r="F20" s="19"/>
      <c r="G20" s="19"/>
      <c r="H20" s="19"/>
      <c r="I20" s="19"/>
      <c r="J20" s="19"/>
      <c r="K20" s="19"/>
      <c r="L20" s="19"/>
    </row>
    <row r="21" ht="15.0" customHeight="1">
      <c r="A21" s="20" t="s">
        <v>161</v>
      </c>
      <c r="B21" s="31">
        <f>L5</f>
        <v>137999511.5</v>
      </c>
      <c r="C21" s="3"/>
      <c r="D21" s="19"/>
      <c r="E21" s="19"/>
      <c r="F21" s="19"/>
      <c r="G21" s="19"/>
      <c r="H21" s="19"/>
      <c r="I21" s="19"/>
      <c r="J21" s="19"/>
      <c r="K21" s="19"/>
      <c r="L21" s="19"/>
    </row>
    <row r="22" ht="15.0" customHeight="1">
      <c r="A22" s="20" t="s">
        <v>162</v>
      </c>
      <c r="B22" s="33">
        <f>L3/L4</f>
        <v>1.012165685</v>
      </c>
      <c r="C22" s="3"/>
      <c r="D22" s="19"/>
      <c r="E22" s="19"/>
      <c r="F22" s="19"/>
      <c r="G22" s="19"/>
      <c r="H22" s="19"/>
      <c r="I22" s="19"/>
      <c r="J22" s="19"/>
      <c r="K22" s="19"/>
      <c r="L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9.5" customHeight="1">
      <c r="A25" s="1" t="s">
        <v>163</v>
      </c>
      <c r="B25" s="2"/>
      <c r="C25" s="3"/>
      <c r="D25" s="19"/>
      <c r="E25" s="19"/>
      <c r="F25" s="19"/>
      <c r="G25" s="19"/>
      <c r="H25" s="19"/>
      <c r="I25" s="19"/>
      <c r="J25" s="19"/>
      <c r="K25" s="19"/>
      <c r="L25" s="19"/>
    </row>
    <row r="26" ht="15.0" customHeight="1">
      <c r="A26" s="20" t="s">
        <v>164</v>
      </c>
      <c r="B26" s="34">
        <f>(K5+(Costs!K6+Costs!K7)*(1+Assumptions!$B$62))/('Money Saved'!K13*Assumptions!$B$13)</f>
        <v>0.6608877934</v>
      </c>
      <c r="C26" s="3"/>
      <c r="D26" s="19"/>
      <c r="E26" s="19"/>
      <c r="F26" s="19"/>
      <c r="G26" s="19"/>
      <c r="H26" s="19"/>
      <c r="I26" s="19"/>
      <c r="J26" s="19"/>
      <c r="K26" s="19"/>
      <c r="L26" s="19"/>
    </row>
    <row r="27" ht="15.0" customHeight="1">
      <c r="A27" s="20" t="s">
        <v>165</v>
      </c>
      <c r="B27" s="34">
        <f>(Assumptions!$B$19+IF(Assumptions!$B$20="Yes",Assumptions!$B$21,0))*Assumptions!$B$6*(1+Assumptions!$B$62)</f>
        <v>29.7</v>
      </c>
      <c r="C27" s="3"/>
      <c r="D27" s="19"/>
      <c r="E27" s="19"/>
      <c r="F27" s="19"/>
      <c r="G27" s="19"/>
      <c r="H27" s="19"/>
      <c r="I27" s="19"/>
      <c r="J27" s="19"/>
      <c r="K27" s="19"/>
      <c r="L27" s="19"/>
    </row>
    <row r="28" ht="23.25" customHeight="1">
      <c r="A28" s="20" t="s">
        <v>166</v>
      </c>
      <c r="B28" s="35">
        <f>IF(B26&lt;=0,"Never: saving per order is not positive",B27/B26)</f>
        <v>44.93954995</v>
      </c>
      <c r="C28" s="3"/>
      <c r="D28" s="19"/>
      <c r="E28" s="19"/>
      <c r="F28" s="19"/>
      <c r="G28" s="19"/>
      <c r="H28" s="19"/>
      <c r="I28" s="19"/>
      <c r="J28" s="19"/>
      <c r="K28" s="19"/>
      <c r="L28" s="19"/>
    </row>
    <row r="29" ht="15.0" customHeight="1">
      <c r="A29" s="20" t="s">
        <v>167</v>
      </c>
      <c r="B29" s="35">
        <f>IF(ISNUMBER(B28),B28/Assumptions!$B$40*12,"Never")</f>
        <v>52.35675722</v>
      </c>
      <c r="C29" s="3"/>
      <c r="D29" s="19"/>
      <c r="E29" s="19"/>
      <c r="F29" s="19"/>
      <c r="G29" s="19"/>
      <c r="H29" s="19"/>
      <c r="I29" s="19"/>
      <c r="J29" s="19"/>
      <c r="K29" s="19"/>
      <c r="L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8">
    <mergeCell ref="A1:L1"/>
    <mergeCell ref="A11:C11"/>
    <mergeCell ref="B12:C12"/>
    <mergeCell ref="B13:C13"/>
    <mergeCell ref="B14:C14"/>
    <mergeCell ref="B15:C15"/>
    <mergeCell ref="B16:C16"/>
    <mergeCell ref="B26:C26"/>
    <mergeCell ref="B27:C27"/>
    <mergeCell ref="B28:C28"/>
    <mergeCell ref="B29:C29"/>
    <mergeCell ref="B17:C17"/>
    <mergeCell ref="B18:C18"/>
    <mergeCell ref="B19:C19"/>
    <mergeCell ref="B20:C20"/>
    <mergeCell ref="B21:C21"/>
    <mergeCell ref="B22:C22"/>
    <mergeCell ref="A25:C25"/>
  </mergeCells>
  <printOptions/>
  <pageMargins bottom="1.0" footer="0.0" header="0.0" left="0.75" right="0.75" top="1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14" width="13.0"/>
    <col customWidth="1" min="15" max="15" width="16.0"/>
  </cols>
  <sheetData>
    <row r="1" ht="19.5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9.5" customHeight="1">
      <c r="A2" s="1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27.75" customHeight="1">
      <c r="A3" s="4" t="s">
        <v>170</v>
      </c>
      <c r="B3" s="4" t="s">
        <v>171</v>
      </c>
      <c r="C3" s="4" t="s">
        <v>172</v>
      </c>
      <c r="D3" s="4" t="s">
        <v>173</v>
      </c>
      <c r="E3" s="4" t="s">
        <v>174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179</v>
      </c>
      <c r="K3" s="4" t="s">
        <v>180</v>
      </c>
      <c r="L3" s="4" t="s">
        <v>181</v>
      </c>
      <c r="M3" s="4" t="s">
        <v>182</v>
      </c>
      <c r="N3" s="4" t="s">
        <v>183</v>
      </c>
      <c r="O3" s="4" t="s">
        <v>184</v>
      </c>
    </row>
    <row r="4" ht="15.0" customHeight="1">
      <c r="A4" s="20" t="s">
        <v>185</v>
      </c>
      <c r="B4" s="10">
        <f>0</f>
        <v>0</v>
      </c>
      <c r="C4" s="10">
        <f>IF(1&lt;=Assumptions!$B$44,Assumptions!$B$45,Assumptions!$B$45+(Assumptions!$B$46-Assumptions!$B$45)*(1-Assumptions!$B$44)/(12-Assumptions!$B$44))</f>
        <v>0.01</v>
      </c>
      <c r="D4" s="10">
        <f>IF(2&lt;=Assumptions!$B$44,Assumptions!$B$45,Assumptions!$B$45+(Assumptions!$B$46-Assumptions!$B$45)*(2-Assumptions!$B$44)/(12-Assumptions!$B$44))</f>
        <v>0.01</v>
      </c>
      <c r="E4" s="10">
        <f>IF(3&lt;=Assumptions!$B$44,Assumptions!$B$45,Assumptions!$B$45+(Assumptions!$B$46-Assumptions!$B$45)*(3-Assumptions!$B$44)/(12-Assumptions!$B$44))</f>
        <v>0.01</v>
      </c>
      <c r="F4" s="10">
        <f>IF(4&lt;=Assumptions!$B$44,Assumptions!$B$45,Assumptions!$B$45+(Assumptions!$B$46-Assumptions!$B$45)*(4-Assumptions!$B$44)/(12-Assumptions!$B$44))</f>
        <v>0.01</v>
      </c>
      <c r="G4" s="10">
        <f>IF(5&lt;=Assumptions!$B$44,Assumptions!$B$45,Assumptions!$B$45+(Assumptions!$B$46-Assumptions!$B$45)*(5-Assumptions!$B$44)/(12-Assumptions!$B$44))</f>
        <v>0.01</v>
      </c>
      <c r="H4" s="10">
        <f>IF(6&lt;=Assumptions!$B$44,Assumptions!$B$45,Assumptions!$B$45+(Assumptions!$B$46-Assumptions!$B$45)*(6-Assumptions!$B$44)/(12-Assumptions!$B$44))</f>
        <v>0.01</v>
      </c>
      <c r="I4" s="10">
        <f>IF(7&lt;=Assumptions!$B$44,Assumptions!$B$45,Assumptions!$B$45+(Assumptions!$B$46-Assumptions!$B$45)*(7-Assumptions!$B$44)/(12-Assumptions!$B$44))</f>
        <v>0.04166666667</v>
      </c>
      <c r="J4" s="10">
        <f>IF(8&lt;=Assumptions!$B$44,Assumptions!$B$45,Assumptions!$B$45+(Assumptions!$B$46-Assumptions!$B$45)*(8-Assumptions!$B$44)/(12-Assumptions!$B$44))</f>
        <v>0.07333333333</v>
      </c>
      <c r="K4" s="10">
        <f>IF(9&lt;=Assumptions!$B$44,Assumptions!$B$45,Assumptions!$B$45+(Assumptions!$B$46-Assumptions!$B$45)*(9-Assumptions!$B$44)/(12-Assumptions!$B$44))</f>
        <v>0.105</v>
      </c>
      <c r="L4" s="10">
        <f>IF(10&lt;=Assumptions!$B$44,Assumptions!$B$45,Assumptions!$B$45+(Assumptions!$B$46-Assumptions!$B$45)*(10-Assumptions!$B$44)/(12-Assumptions!$B$44))</f>
        <v>0.1366666667</v>
      </c>
      <c r="M4" s="10">
        <f>IF(11&lt;=Assumptions!$B$44,Assumptions!$B$45,Assumptions!$B$45+(Assumptions!$B$46-Assumptions!$B$45)*(11-Assumptions!$B$44)/(12-Assumptions!$B$44))</f>
        <v>0.1683333333</v>
      </c>
      <c r="N4" s="10">
        <f>IF(12&lt;=Assumptions!$B$44,Assumptions!$B$45,Assumptions!$B$45+(Assumptions!$B$46-Assumptions!$B$45)*(12-Assumptions!$B$44)/(12-Assumptions!$B$44))</f>
        <v>0.2</v>
      </c>
      <c r="O4" s="23">
        <f t="shared" ref="O4:O6" si="1">AVERAGE(C4:N4)</f>
        <v>0.06541666667</v>
      </c>
    </row>
    <row r="5" ht="15.0" customHeight="1">
      <c r="A5" s="20" t="s">
        <v>186</v>
      </c>
      <c r="B5" s="7">
        <f>Assumptions!$B$4*B4*Assumptions!$B$37</f>
        <v>0</v>
      </c>
      <c r="C5" s="7">
        <f>Assumptions!$B$4*C4*Assumptions!$B$37</f>
        <v>3360</v>
      </c>
      <c r="D5" s="7">
        <f>Assumptions!$B$4*D4*Assumptions!$B$37</f>
        <v>3360</v>
      </c>
      <c r="E5" s="7">
        <f>Assumptions!$B$4*E4*Assumptions!$B$37</f>
        <v>3360</v>
      </c>
      <c r="F5" s="7">
        <f>Assumptions!$B$4*F4*Assumptions!$B$37</f>
        <v>3360</v>
      </c>
      <c r="G5" s="7">
        <f>Assumptions!$B$4*G4*Assumptions!$B$37</f>
        <v>3360</v>
      </c>
      <c r="H5" s="7">
        <f>Assumptions!$B$4*H4*Assumptions!$B$37</f>
        <v>3360</v>
      </c>
      <c r="I5" s="7">
        <f>Assumptions!$B$4*I4*Assumptions!$B$37</f>
        <v>14000</v>
      </c>
      <c r="J5" s="7">
        <f>Assumptions!$B$4*J4*Assumptions!$B$37</f>
        <v>24640</v>
      </c>
      <c r="K5" s="7">
        <f>Assumptions!$B$4*K4*Assumptions!$B$37</f>
        <v>35280</v>
      </c>
      <c r="L5" s="7">
        <f>Assumptions!$B$4*L4*Assumptions!$B$37</f>
        <v>45920</v>
      </c>
      <c r="M5" s="7">
        <f>Assumptions!$B$4*M4*Assumptions!$B$37</f>
        <v>56560</v>
      </c>
      <c r="N5" s="7">
        <f>Assumptions!$B$4*N4*Assumptions!$B$37</f>
        <v>67200</v>
      </c>
      <c r="O5" s="24">
        <f t="shared" si="1"/>
        <v>21980</v>
      </c>
    </row>
    <row r="6" ht="15.0" customHeight="1">
      <c r="A6" s="20" t="s">
        <v>187</v>
      </c>
      <c r="B6" s="7">
        <f>B5*Assumptions!$B$39</f>
        <v>0</v>
      </c>
      <c r="C6" s="7">
        <f>C5*Assumptions!$B$39</f>
        <v>2543.581801</v>
      </c>
      <c r="D6" s="7">
        <f>D5*Assumptions!$B$39</f>
        <v>2543.581801</v>
      </c>
      <c r="E6" s="7">
        <f>E5*Assumptions!$B$39</f>
        <v>2543.581801</v>
      </c>
      <c r="F6" s="7">
        <f>F5*Assumptions!$B$39</f>
        <v>2543.581801</v>
      </c>
      <c r="G6" s="7">
        <f>G5*Assumptions!$B$39</f>
        <v>2543.581801</v>
      </c>
      <c r="H6" s="7">
        <f>H5*Assumptions!$B$39</f>
        <v>2543.581801</v>
      </c>
      <c r="I6" s="7">
        <f>I5*Assumptions!$B$39</f>
        <v>10598.2575</v>
      </c>
      <c r="J6" s="7">
        <f>J5*Assumptions!$B$39</f>
        <v>18652.9332</v>
      </c>
      <c r="K6" s="7">
        <f>K5*Assumptions!$B$39</f>
        <v>26707.60891</v>
      </c>
      <c r="L6" s="7">
        <f>L5*Assumptions!$B$39</f>
        <v>34762.28461</v>
      </c>
      <c r="M6" s="7">
        <f>M5*Assumptions!$B$39</f>
        <v>42816.96031</v>
      </c>
      <c r="N6" s="7">
        <f>N5*Assumptions!$B$39</f>
        <v>50871.63601</v>
      </c>
      <c r="O6" s="24">
        <f t="shared" si="1"/>
        <v>16639.26428</v>
      </c>
    </row>
    <row r="7" ht="15.0" customHeight="1">
      <c r="A7" s="20" t="s">
        <v>188</v>
      </c>
      <c r="B7" s="7">
        <f>ROUNDUP(B5/Assumptions!$B$42,0)</f>
        <v>0</v>
      </c>
      <c r="C7" s="7">
        <f>ROUNDUP(C5/Assumptions!$B$42,0)</f>
        <v>112</v>
      </c>
      <c r="D7" s="7">
        <f>ROUNDUP(D5/Assumptions!$B$42,0)</f>
        <v>112</v>
      </c>
      <c r="E7" s="7">
        <f>ROUNDUP(E5/Assumptions!$B$42,0)</f>
        <v>112</v>
      </c>
      <c r="F7" s="7">
        <f>ROUNDUP(F5/Assumptions!$B$42,0)</f>
        <v>112</v>
      </c>
      <c r="G7" s="7">
        <f>ROUNDUP(G5/Assumptions!$B$42,0)</f>
        <v>112</v>
      </c>
      <c r="H7" s="7">
        <f>ROUNDUP(H5/Assumptions!$B$42,0)</f>
        <v>112</v>
      </c>
      <c r="I7" s="7">
        <f>ROUNDUP(I5/Assumptions!$B$42,0)</f>
        <v>467</v>
      </c>
      <c r="J7" s="7">
        <f>ROUNDUP(J5/Assumptions!$B$42,0)</f>
        <v>822</v>
      </c>
      <c r="K7" s="7">
        <f>ROUNDUP(K5/Assumptions!$B$42,0)</f>
        <v>1176</v>
      </c>
      <c r="L7" s="7">
        <f>ROUNDUP(L5/Assumptions!$B$42,0)</f>
        <v>1531</v>
      </c>
      <c r="M7" s="7">
        <f>ROUNDUP(M5/Assumptions!$B$42,0)</f>
        <v>1886</v>
      </c>
      <c r="N7" s="7">
        <f>ROUNDUP(N5/Assumptions!$B$42,0)</f>
        <v>2240</v>
      </c>
      <c r="O7" s="24">
        <f>N7</f>
        <v>2240</v>
      </c>
    </row>
    <row r="8" ht="15.0" customHeight="1">
      <c r="A8" s="20" t="s">
        <v>189</v>
      </c>
      <c r="B8" s="7">
        <f>B7</f>
        <v>0</v>
      </c>
      <c r="C8" s="7">
        <f t="shared" ref="C8:N8" si="2">MAX(0,C7-B7)</f>
        <v>112</v>
      </c>
      <c r="D8" s="7">
        <f t="shared" si="2"/>
        <v>0</v>
      </c>
      <c r="E8" s="7">
        <f t="shared" si="2"/>
        <v>0</v>
      </c>
      <c r="F8" s="7">
        <f t="shared" si="2"/>
        <v>0</v>
      </c>
      <c r="G8" s="7">
        <f t="shared" si="2"/>
        <v>0</v>
      </c>
      <c r="H8" s="7">
        <f t="shared" si="2"/>
        <v>0</v>
      </c>
      <c r="I8" s="7">
        <f t="shared" si="2"/>
        <v>355</v>
      </c>
      <c r="J8" s="7">
        <f t="shared" si="2"/>
        <v>355</v>
      </c>
      <c r="K8" s="7">
        <f t="shared" si="2"/>
        <v>354</v>
      </c>
      <c r="L8" s="7">
        <f t="shared" si="2"/>
        <v>355</v>
      </c>
      <c r="M8" s="7">
        <f t="shared" si="2"/>
        <v>355</v>
      </c>
      <c r="N8" s="7">
        <f t="shared" si="2"/>
        <v>354</v>
      </c>
      <c r="O8" s="24">
        <f>SUM(B8:N8)</f>
        <v>2240</v>
      </c>
    </row>
    <row r="9" ht="15.0" customHeight="1">
      <c r="A9" s="20" t="s">
        <v>190</v>
      </c>
      <c r="B9" s="12">
        <f>0</f>
        <v>0</v>
      </c>
      <c r="C9" s="12">
        <f>Assumptions!$B$27+(Assumptions!$B$28-Assumptions!$B$27)*MIN(1,(1-1)/(Assumptions!$B$29-1))</f>
        <v>0.2</v>
      </c>
      <c r="D9" s="12">
        <f>Assumptions!$B$27+(Assumptions!$B$28-Assumptions!$B$27)*MIN(1,(2-1)/(Assumptions!$B$29-1))</f>
        <v>0.2050847458</v>
      </c>
      <c r="E9" s="12">
        <f>Assumptions!$B$27+(Assumptions!$B$28-Assumptions!$B$27)*MIN(1,(3-1)/(Assumptions!$B$29-1))</f>
        <v>0.2101694915</v>
      </c>
      <c r="F9" s="12">
        <f>Assumptions!$B$27+(Assumptions!$B$28-Assumptions!$B$27)*MIN(1,(4-1)/(Assumptions!$B$29-1))</f>
        <v>0.2152542373</v>
      </c>
      <c r="G9" s="12">
        <f>Assumptions!$B$27+(Assumptions!$B$28-Assumptions!$B$27)*MIN(1,(5-1)/(Assumptions!$B$29-1))</f>
        <v>0.2203389831</v>
      </c>
      <c r="H9" s="12">
        <f>Assumptions!$B$27+(Assumptions!$B$28-Assumptions!$B$27)*MIN(1,(6-1)/(Assumptions!$B$29-1))</f>
        <v>0.2254237288</v>
      </c>
      <c r="I9" s="12">
        <f>Assumptions!$B$27+(Assumptions!$B$28-Assumptions!$B$27)*MIN(1,(7-1)/(Assumptions!$B$29-1))</f>
        <v>0.2305084746</v>
      </c>
      <c r="J9" s="12">
        <f>Assumptions!$B$27+(Assumptions!$B$28-Assumptions!$B$27)*MIN(1,(8-1)/(Assumptions!$B$29-1))</f>
        <v>0.2355932203</v>
      </c>
      <c r="K9" s="12">
        <f>Assumptions!$B$27+(Assumptions!$B$28-Assumptions!$B$27)*MIN(1,(9-1)/(Assumptions!$B$29-1))</f>
        <v>0.2406779661</v>
      </c>
      <c r="L9" s="12">
        <f>Assumptions!$B$27+(Assumptions!$B$28-Assumptions!$B$27)*MIN(1,(10-1)/(Assumptions!$B$29-1))</f>
        <v>0.2457627119</v>
      </c>
      <c r="M9" s="12">
        <f>Assumptions!$B$27+(Assumptions!$B$28-Assumptions!$B$27)*MIN(1,(11-1)/(Assumptions!$B$29-1))</f>
        <v>0.2508474576</v>
      </c>
      <c r="N9" s="12">
        <f>Assumptions!$B$27+(Assumptions!$B$28-Assumptions!$B$27)*MIN(1,(12-1)/(Assumptions!$B$29-1))</f>
        <v>0.2559322034</v>
      </c>
      <c r="O9" s="25">
        <f>AVERAGE(C9:N9)</f>
        <v>0.2279661017</v>
      </c>
    </row>
    <row r="10" ht="15.0" customHeight="1">
      <c r="A10" s="20" t="s">
        <v>191</v>
      </c>
      <c r="B10" s="7">
        <f>B5*(Assumptions!$B$13/12)/Assumptions!$B$72</f>
        <v>0</v>
      </c>
      <c r="C10" s="7">
        <f>C5*(Assumptions!$B$13/12)/Assumptions!$B$72</f>
        <v>119067.9612</v>
      </c>
      <c r="D10" s="7">
        <f>D5*(Assumptions!$B$13/12)/Assumptions!$B$72</f>
        <v>119067.9612</v>
      </c>
      <c r="E10" s="7">
        <f>E5*(Assumptions!$B$13/12)/Assumptions!$B$72</f>
        <v>119067.9612</v>
      </c>
      <c r="F10" s="7">
        <f>F5*(Assumptions!$B$13/12)/Assumptions!$B$72</f>
        <v>119067.9612</v>
      </c>
      <c r="G10" s="7">
        <f>G5*(Assumptions!$B$13/12)/Assumptions!$B$72</f>
        <v>119067.9612</v>
      </c>
      <c r="H10" s="7">
        <f>H5*(Assumptions!$B$13/12)/Assumptions!$B$72</f>
        <v>119067.9612</v>
      </c>
      <c r="I10" s="7">
        <f>I5*(Assumptions!$B$13/12)/Assumptions!$B$72</f>
        <v>496116.5049</v>
      </c>
      <c r="J10" s="7">
        <f>J5*(Assumptions!$B$13/12)/Assumptions!$B$72</f>
        <v>873165.0485</v>
      </c>
      <c r="K10" s="7">
        <f>K5*(Assumptions!$B$13/12)/Assumptions!$B$72</f>
        <v>1250213.592</v>
      </c>
      <c r="L10" s="7">
        <f>L5*(Assumptions!$B$13/12)/Assumptions!$B$72</f>
        <v>1627262.136</v>
      </c>
      <c r="M10" s="7">
        <f>M5*(Assumptions!$B$13/12)/Assumptions!$B$72</f>
        <v>2004310.68</v>
      </c>
      <c r="N10" s="7">
        <f>N5*(Assumptions!$B$13/12)/Assumptions!$B$72</f>
        <v>2381359.223</v>
      </c>
      <c r="O10" s="24">
        <f>N10</f>
        <v>2381359.223</v>
      </c>
    </row>
    <row r="11" ht="15.0" customHeight="1">
      <c r="A11" s="20" t="s">
        <v>192</v>
      </c>
      <c r="B11" s="7">
        <f>B10</f>
        <v>0</v>
      </c>
      <c r="C11" s="7">
        <f>MAX(0,C10-B10*(1-Assumptions!$B$73))</f>
        <v>119067.9612</v>
      </c>
      <c r="D11" s="7">
        <f>MAX(0,D10-C10*(1-Assumptions!$B$73))</f>
        <v>4962.213407</v>
      </c>
      <c r="E11" s="7">
        <f>MAX(0,E10-D10*(1-Assumptions!$B$73))</f>
        <v>4962.213407</v>
      </c>
      <c r="F11" s="7">
        <f>MAX(0,F10-E10*(1-Assumptions!$B$73))</f>
        <v>4962.213407</v>
      </c>
      <c r="G11" s="7">
        <f>MAX(0,G10-F10*(1-Assumptions!$B$73))</f>
        <v>4962.213407</v>
      </c>
      <c r="H11" s="7">
        <f>MAX(0,H10-G10*(1-Assumptions!$B$73))</f>
        <v>4962.213407</v>
      </c>
      <c r="I11" s="7">
        <f>MAX(0,I10-H10*(1-Assumptions!$B$73))</f>
        <v>382010.7571</v>
      </c>
      <c r="J11" s="7">
        <f>MAX(0,J10-I10*(1-Assumptions!$B$73))</f>
        <v>397724.4329</v>
      </c>
      <c r="K11" s="7">
        <f>MAX(0,K10-J10*(1-Assumptions!$B$73))</f>
        <v>413438.1087</v>
      </c>
      <c r="L11" s="7">
        <f>MAX(0,L10-K10*(1-Assumptions!$B$73))</f>
        <v>429151.7845</v>
      </c>
      <c r="M11" s="7">
        <f>MAX(0,M10-L10*(1-Assumptions!$B$73))</f>
        <v>444865.4603</v>
      </c>
      <c r="N11" s="7">
        <f>MAX(0,N10-M10*(1-Assumptions!$B$73))</f>
        <v>460579.136</v>
      </c>
      <c r="O11" s="24">
        <f t="shared" ref="O11:O12" si="3">SUM(B11:N11)</f>
        <v>2671648.708</v>
      </c>
    </row>
    <row r="12" ht="23.25" customHeight="1">
      <c r="A12" s="20" t="s">
        <v>193</v>
      </c>
      <c r="B12" s="7">
        <f>0</f>
        <v>0</v>
      </c>
      <c r="C12" s="7">
        <f>IF(Assumptions!$B$20="Yes",B11*(1-Assumptions!$B$73),0)</f>
        <v>0</v>
      </c>
      <c r="D12" s="7">
        <f>IF(Assumptions!$B$20="Yes",C11*(1-Assumptions!$B$73),0)</f>
        <v>114105.7478</v>
      </c>
      <c r="E12" s="7">
        <f>IF(Assumptions!$B$20="Yes",D11*(1-Assumptions!$B$73),0)</f>
        <v>4755.410824</v>
      </c>
      <c r="F12" s="7">
        <f>IF(Assumptions!$B$20="Yes",E11*(1-Assumptions!$B$73),0)</f>
        <v>4755.410824</v>
      </c>
      <c r="G12" s="7">
        <f>IF(Assumptions!$B$20="Yes",F11*(1-Assumptions!$B$73),0)</f>
        <v>4755.410824</v>
      </c>
      <c r="H12" s="7">
        <f>IF(Assumptions!$B$20="Yes",G11*(1-Assumptions!$B$73),0)</f>
        <v>4755.410824</v>
      </c>
      <c r="I12" s="7">
        <f>IF(Assumptions!$B$20="Yes",H11*(1-Assumptions!$B$73),0)</f>
        <v>4755.410824</v>
      </c>
      <c r="J12" s="7">
        <f>IF(Assumptions!$B$20="Yes",I11*(1-Assumptions!$B$73),0)</f>
        <v>366090.2787</v>
      </c>
      <c r="K12" s="7">
        <f>IF(Assumptions!$B$20="Yes",J11*(1-Assumptions!$B$73),0)</f>
        <v>381149.0797</v>
      </c>
      <c r="L12" s="7">
        <f>IF(Assumptions!$B$20="Yes",K11*(1-Assumptions!$B$73),0)</f>
        <v>396207.8806</v>
      </c>
      <c r="M12" s="7">
        <f>IF(Assumptions!$B$20="Yes",L11*(1-Assumptions!$B$73),0)</f>
        <v>411266.6816</v>
      </c>
      <c r="N12" s="7">
        <f>IF(Assumptions!$B$20="Yes",M11*(1-Assumptions!$B$73),0)</f>
        <v>426325.4825</v>
      </c>
      <c r="O12" s="24">
        <f t="shared" si="3"/>
        <v>2118922.205</v>
      </c>
    </row>
    <row r="13" ht="19.5" customHeight="1">
      <c r="A13" s="1" t="s">
        <v>194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ht="27.75" customHeight="1">
      <c r="A14" s="4" t="s">
        <v>170</v>
      </c>
      <c r="B14" s="4" t="s">
        <v>171</v>
      </c>
      <c r="C14" s="4" t="s">
        <v>172</v>
      </c>
      <c r="D14" s="4" t="s">
        <v>173</v>
      </c>
      <c r="E14" s="4" t="s">
        <v>174</v>
      </c>
      <c r="F14" s="4" t="s">
        <v>175</v>
      </c>
      <c r="G14" s="4" t="s">
        <v>176</v>
      </c>
      <c r="H14" s="4" t="s">
        <v>177</v>
      </c>
      <c r="I14" s="4" t="s">
        <v>178</v>
      </c>
      <c r="J14" s="4" t="s">
        <v>179</v>
      </c>
      <c r="K14" s="4" t="s">
        <v>180</v>
      </c>
      <c r="L14" s="4" t="s">
        <v>181</v>
      </c>
      <c r="M14" s="4" t="s">
        <v>182</v>
      </c>
      <c r="N14" s="4" t="s">
        <v>183</v>
      </c>
      <c r="O14" s="4" t="s">
        <v>184</v>
      </c>
    </row>
    <row r="15" ht="15.0" customHeight="1">
      <c r="A15" s="20" t="s">
        <v>195</v>
      </c>
      <c r="B15" s="7">
        <f>B6*(Assumptions!$B$13/12)</f>
        <v>0</v>
      </c>
      <c r="C15" s="7">
        <f>C6*(Assumptions!$B$13/12)</f>
        <v>77367.27977</v>
      </c>
      <c r="D15" s="7">
        <f>D6*(Assumptions!$B$13/12)</f>
        <v>77367.27977</v>
      </c>
      <c r="E15" s="7">
        <f>E6*(Assumptions!$B$13/12)</f>
        <v>77367.27977</v>
      </c>
      <c r="F15" s="7">
        <f>F6*(Assumptions!$B$13/12)</f>
        <v>77367.27977</v>
      </c>
      <c r="G15" s="7">
        <f>G6*(Assumptions!$B$13/12)</f>
        <v>77367.27977</v>
      </c>
      <c r="H15" s="7">
        <f>H6*(Assumptions!$B$13/12)</f>
        <v>77367.27977</v>
      </c>
      <c r="I15" s="7">
        <f>I6*(Assumptions!$B$13/12)</f>
        <v>322363.6657</v>
      </c>
      <c r="J15" s="7">
        <f>J6*(Assumptions!$B$13/12)</f>
        <v>567360.0516</v>
      </c>
      <c r="K15" s="7">
        <f>K6*(Assumptions!$B$13/12)</f>
        <v>812356.4376</v>
      </c>
      <c r="L15" s="7">
        <f>L6*(Assumptions!$B$13/12)</f>
        <v>1057352.823</v>
      </c>
      <c r="M15" s="7">
        <f>M6*(Assumptions!$B$13/12)</f>
        <v>1302349.209</v>
      </c>
      <c r="N15" s="7">
        <f>N6*(Assumptions!$B$13/12)</f>
        <v>1547345.595</v>
      </c>
      <c r="O15" s="24">
        <f t="shared" ref="O15:O19" si="4">SUM(B15:N15)</f>
        <v>6073331.462</v>
      </c>
    </row>
    <row r="16" ht="15.0" customHeight="1">
      <c r="A16" s="20" t="s">
        <v>117</v>
      </c>
      <c r="B16" s="11">
        <f>B15*Assumptions!$B$11</f>
        <v>0</v>
      </c>
      <c r="C16" s="11">
        <f>C15*Assumptions!$B$11</f>
        <v>1624712.875</v>
      </c>
      <c r="D16" s="11">
        <f>D15*Assumptions!$B$11</f>
        <v>1624712.875</v>
      </c>
      <c r="E16" s="11">
        <f>E15*Assumptions!$B$11</f>
        <v>1624712.875</v>
      </c>
      <c r="F16" s="11">
        <f>F15*Assumptions!$B$11</f>
        <v>1624712.875</v>
      </c>
      <c r="G16" s="11">
        <f>G15*Assumptions!$B$11</f>
        <v>1624712.875</v>
      </c>
      <c r="H16" s="11">
        <f>H15*Assumptions!$B$11</f>
        <v>1624712.875</v>
      </c>
      <c r="I16" s="11">
        <f>I15*Assumptions!$B$11</f>
        <v>6769636.98</v>
      </c>
      <c r="J16" s="11">
        <f>J15*Assumptions!$B$11</f>
        <v>11914561.08</v>
      </c>
      <c r="K16" s="11">
        <f>K15*Assumptions!$B$11</f>
        <v>17059485.19</v>
      </c>
      <c r="L16" s="11">
        <f>L15*Assumptions!$B$11</f>
        <v>22204409.29</v>
      </c>
      <c r="M16" s="11">
        <f>M15*Assumptions!$B$11</f>
        <v>27349333.4</v>
      </c>
      <c r="N16" s="11">
        <f>N15*Assumptions!$B$11</f>
        <v>32494257.5</v>
      </c>
      <c r="O16" s="21">
        <f t="shared" si="4"/>
        <v>127539960.7</v>
      </c>
    </row>
    <row r="17" ht="15.0" customHeight="1">
      <c r="A17" s="20" t="s">
        <v>124</v>
      </c>
      <c r="B17" s="7">
        <f>B5*(Assumptions!$B$13/12)*Assumptions!$B$71*B9</f>
        <v>0</v>
      </c>
      <c r="C17" s="7">
        <f>C5*(Assumptions!$B$13/12)*Assumptions!$B$71*C9</f>
        <v>521.22</v>
      </c>
      <c r="D17" s="7">
        <f>D5*(Assumptions!$B$13/12)*Assumptions!$B$71*D9</f>
        <v>534.4713559</v>
      </c>
      <c r="E17" s="7">
        <f>E5*(Assumptions!$B$13/12)*Assumptions!$B$71*E9</f>
        <v>547.7227119</v>
      </c>
      <c r="F17" s="7">
        <f>F5*(Assumptions!$B$13/12)*Assumptions!$B$71*F9</f>
        <v>560.9740678</v>
      </c>
      <c r="G17" s="7">
        <f>G5*(Assumptions!$B$13/12)*Assumptions!$B$71*G9</f>
        <v>574.2254237</v>
      </c>
      <c r="H17" s="7">
        <f>H5*(Assumptions!$B$13/12)*Assumptions!$B$71*H9</f>
        <v>587.4767797</v>
      </c>
      <c r="I17" s="7">
        <f>I5*(Assumptions!$B$13/12)*Assumptions!$B$71*I9</f>
        <v>2503.033898</v>
      </c>
      <c r="J17" s="7">
        <f>J5*(Assumptions!$B$13/12)*Assumptions!$B$71*J9</f>
        <v>4502.516271</v>
      </c>
      <c r="K17" s="7">
        <f>K5*(Assumptions!$B$13/12)*Assumptions!$B$71*K9</f>
        <v>6585.923898</v>
      </c>
      <c r="L17" s="7">
        <f>L5*(Assumptions!$B$13/12)*Assumptions!$B$71*L9</f>
        <v>8753.25678</v>
      </c>
      <c r="M17" s="7">
        <f>M5*(Assumptions!$B$13/12)*Assumptions!$B$71*M9</f>
        <v>11004.51492</v>
      </c>
      <c r="N17" s="7">
        <f>N5*(Assumptions!$B$13/12)*Assumptions!$B$71*N9</f>
        <v>13339.69831</v>
      </c>
      <c r="O17" s="24">
        <f t="shared" si="4"/>
        <v>50015.03441</v>
      </c>
    </row>
    <row r="18" ht="15.0" customHeight="1">
      <c r="A18" s="20" t="s">
        <v>118</v>
      </c>
      <c r="B18" s="11">
        <f>B17*Assumptions!$B$12</f>
        <v>0</v>
      </c>
      <c r="C18" s="11">
        <f>C17*Assumptions!$B$12</f>
        <v>62546.4</v>
      </c>
      <c r="D18" s="11">
        <f>D17*Assumptions!$B$12</f>
        <v>64136.56271</v>
      </c>
      <c r="E18" s="11">
        <f>E17*Assumptions!$B$12</f>
        <v>65726.72542</v>
      </c>
      <c r="F18" s="11">
        <f>F17*Assumptions!$B$12</f>
        <v>67316.88814</v>
      </c>
      <c r="G18" s="11">
        <f>G17*Assumptions!$B$12</f>
        <v>68907.05085</v>
      </c>
      <c r="H18" s="11">
        <f>H17*Assumptions!$B$12</f>
        <v>70497.21356</v>
      </c>
      <c r="I18" s="11">
        <f>I17*Assumptions!$B$12</f>
        <v>300364.0678</v>
      </c>
      <c r="J18" s="11">
        <f>J17*Assumptions!$B$12</f>
        <v>540301.9525</v>
      </c>
      <c r="K18" s="11">
        <f>K17*Assumptions!$B$12</f>
        <v>790310.8678</v>
      </c>
      <c r="L18" s="11">
        <f>L17*Assumptions!$B$12</f>
        <v>1050390.814</v>
      </c>
      <c r="M18" s="11">
        <f>M17*Assumptions!$B$12</f>
        <v>1320541.79</v>
      </c>
      <c r="N18" s="11">
        <f>N17*Assumptions!$B$12</f>
        <v>1600763.797</v>
      </c>
      <c r="O18" s="21">
        <f t="shared" si="4"/>
        <v>6001804.129</v>
      </c>
    </row>
    <row r="19" ht="15.0" customHeight="1">
      <c r="A19" s="22" t="s">
        <v>104</v>
      </c>
      <c r="B19" s="21">
        <f t="shared" ref="B19:N19" si="5">B16+B18</f>
        <v>0</v>
      </c>
      <c r="C19" s="21">
        <f t="shared" si="5"/>
        <v>1687259.275</v>
      </c>
      <c r="D19" s="21">
        <f t="shared" si="5"/>
        <v>1688849.438</v>
      </c>
      <c r="E19" s="21">
        <f t="shared" si="5"/>
        <v>1690439.601</v>
      </c>
      <c r="F19" s="21">
        <f t="shared" si="5"/>
        <v>1692029.763</v>
      </c>
      <c r="G19" s="21">
        <f t="shared" si="5"/>
        <v>1693619.926</v>
      </c>
      <c r="H19" s="21">
        <f t="shared" si="5"/>
        <v>1695210.089</v>
      </c>
      <c r="I19" s="21">
        <f t="shared" si="5"/>
        <v>7070001.047</v>
      </c>
      <c r="J19" s="21">
        <f t="shared" si="5"/>
        <v>12454863.04</v>
      </c>
      <c r="K19" s="21">
        <f t="shared" si="5"/>
        <v>17849796.06</v>
      </c>
      <c r="L19" s="21">
        <f t="shared" si="5"/>
        <v>23254800.11</v>
      </c>
      <c r="M19" s="21">
        <f t="shared" si="5"/>
        <v>28669875.19</v>
      </c>
      <c r="N19" s="21">
        <f t="shared" si="5"/>
        <v>34095021.3</v>
      </c>
      <c r="O19" s="21">
        <f t="shared" si="4"/>
        <v>133541764.8</v>
      </c>
    </row>
    <row r="20" ht="19.5" customHeight="1">
      <c r="A20" s="1" t="s">
        <v>196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</row>
    <row r="21" ht="27.75" customHeight="1">
      <c r="A21" s="4" t="s">
        <v>170</v>
      </c>
      <c r="B21" s="4" t="s">
        <v>171</v>
      </c>
      <c r="C21" s="4" t="s">
        <v>172</v>
      </c>
      <c r="D21" s="4" t="s">
        <v>173</v>
      </c>
      <c r="E21" s="4" t="s">
        <v>174</v>
      </c>
      <c r="F21" s="4" t="s">
        <v>175</v>
      </c>
      <c r="G21" s="4" t="s">
        <v>176</v>
      </c>
      <c r="H21" s="4" t="s">
        <v>177</v>
      </c>
      <c r="I21" s="4" t="s">
        <v>178</v>
      </c>
      <c r="J21" s="4" t="s">
        <v>179</v>
      </c>
      <c r="K21" s="4" t="s">
        <v>180</v>
      </c>
      <c r="L21" s="4" t="s">
        <v>181</v>
      </c>
      <c r="M21" s="4" t="s">
        <v>182</v>
      </c>
      <c r="N21" s="4" t="s">
        <v>183</v>
      </c>
      <c r="O21" s="4" t="s">
        <v>184</v>
      </c>
    </row>
    <row r="22" ht="15.0" customHeight="1">
      <c r="A22" s="20" t="s">
        <v>197</v>
      </c>
      <c r="B22" s="11">
        <f>B5*(Assumptions!$B$13/12)*Assumptions!$B$16</f>
        <v>0</v>
      </c>
      <c r="C22" s="11">
        <f>C5*(Assumptions!$B$13/12)*Assumptions!$B$16</f>
        <v>613200</v>
      </c>
      <c r="D22" s="11">
        <f>D5*(Assumptions!$B$13/12)*Assumptions!$B$16</f>
        <v>613200</v>
      </c>
      <c r="E22" s="11">
        <f>E5*(Assumptions!$B$13/12)*Assumptions!$B$16</f>
        <v>613200</v>
      </c>
      <c r="F22" s="11">
        <f>F5*(Assumptions!$B$13/12)*Assumptions!$B$16</f>
        <v>613200</v>
      </c>
      <c r="G22" s="11">
        <f>G5*(Assumptions!$B$13/12)*Assumptions!$B$16</f>
        <v>613200</v>
      </c>
      <c r="H22" s="11">
        <f>H5*(Assumptions!$B$13/12)*Assumptions!$B$16</f>
        <v>613200</v>
      </c>
      <c r="I22" s="11">
        <f>I5*(Assumptions!$B$13/12)*Assumptions!$B$16</f>
        <v>2555000</v>
      </c>
      <c r="J22" s="11">
        <f>J5*(Assumptions!$B$13/12)*Assumptions!$B$16</f>
        <v>4496800</v>
      </c>
      <c r="K22" s="11">
        <f>K5*(Assumptions!$B$13/12)*Assumptions!$B$16</f>
        <v>6438600</v>
      </c>
      <c r="L22" s="11">
        <f>L5*(Assumptions!$B$13/12)*Assumptions!$B$16</f>
        <v>8380400</v>
      </c>
      <c r="M22" s="11">
        <f>M5*(Assumptions!$B$13/12)*Assumptions!$B$16</f>
        <v>10322200</v>
      </c>
      <c r="N22" s="11">
        <f>N5*(Assumptions!$B$13/12)*Assumptions!$B$16</f>
        <v>12264000</v>
      </c>
      <c r="O22" s="21">
        <f t="shared" ref="O22:O38" si="6">SUM(B22:N22)</f>
        <v>48136200</v>
      </c>
    </row>
    <row r="23" ht="23.25" customHeight="1">
      <c r="A23" s="20" t="s">
        <v>198</v>
      </c>
      <c r="B23" s="11">
        <f>B15*Assumptions!$B$15</f>
        <v>0</v>
      </c>
      <c r="C23" s="11">
        <f>C15*Assumptions!$B$15</f>
        <v>464203.6786</v>
      </c>
      <c r="D23" s="11">
        <f>D15*Assumptions!$B$15</f>
        <v>464203.6786</v>
      </c>
      <c r="E23" s="11">
        <f>E15*Assumptions!$B$15</f>
        <v>464203.6786</v>
      </c>
      <c r="F23" s="11">
        <f>F15*Assumptions!$B$15</f>
        <v>464203.6786</v>
      </c>
      <c r="G23" s="11">
        <f>G15*Assumptions!$B$15</f>
        <v>464203.6786</v>
      </c>
      <c r="H23" s="11">
        <f>H15*Assumptions!$B$15</f>
        <v>464203.6786</v>
      </c>
      <c r="I23" s="11">
        <f>I15*Assumptions!$B$15</f>
        <v>1934181.994</v>
      </c>
      <c r="J23" s="11">
        <f>J15*Assumptions!$B$15</f>
        <v>3404160.31</v>
      </c>
      <c r="K23" s="11">
        <f>K15*Assumptions!$B$15</f>
        <v>4874138.625</v>
      </c>
      <c r="L23" s="11">
        <f>L15*Assumptions!$B$15</f>
        <v>6344116.941</v>
      </c>
      <c r="M23" s="11">
        <f>M15*Assumptions!$B$15</f>
        <v>7814095.257</v>
      </c>
      <c r="N23" s="11">
        <f>N15*Assumptions!$B$15</f>
        <v>9284073.572</v>
      </c>
      <c r="O23" s="21">
        <f t="shared" si="6"/>
        <v>36439988.77</v>
      </c>
    </row>
    <row r="24" ht="15.0" customHeight="1">
      <c r="A24" s="20" t="s">
        <v>130</v>
      </c>
      <c r="B24" s="11">
        <f>B15*Assumptions!$B$17</f>
        <v>0</v>
      </c>
      <c r="C24" s="11">
        <f>C15*Assumptions!$B$17</f>
        <v>541570.9584</v>
      </c>
      <c r="D24" s="11">
        <f>D15*Assumptions!$B$17</f>
        <v>541570.9584</v>
      </c>
      <c r="E24" s="11">
        <f>E15*Assumptions!$B$17</f>
        <v>541570.9584</v>
      </c>
      <c r="F24" s="11">
        <f>F15*Assumptions!$B$17</f>
        <v>541570.9584</v>
      </c>
      <c r="G24" s="11">
        <f>G15*Assumptions!$B$17</f>
        <v>541570.9584</v>
      </c>
      <c r="H24" s="11">
        <f>H15*Assumptions!$B$17</f>
        <v>541570.9584</v>
      </c>
      <c r="I24" s="11">
        <f>I15*Assumptions!$B$17</f>
        <v>2256545.66</v>
      </c>
      <c r="J24" s="11">
        <f>J15*Assumptions!$B$17</f>
        <v>3971520.361</v>
      </c>
      <c r="K24" s="11">
        <f>K15*Assumptions!$B$17</f>
        <v>5686495.063</v>
      </c>
      <c r="L24" s="11">
        <f>L15*Assumptions!$B$17</f>
        <v>7401469.764</v>
      </c>
      <c r="M24" s="11">
        <f>M15*Assumptions!$B$17</f>
        <v>9116444.466</v>
      </c>
      <c r="N24" s="11">
        <f>N15*Assumptions!$B$17</f>
        <v>10831419.17</v>
      </c>
      <c r="O24" s="21">
        <f t="shared" si="6"/>
        <v>42513320.23</v>
      </c>
    </row>
    <row r="25" ht="15.0" customHeight="1">
      <c r="A25" s="20" t="s">
        <v>199</v>
      </c>
      <c r="B25" s="11">
        <f>IF(Assumptions!$B$22&gt;=1,B11*Assumptions!$B$39*Assumptions!$B$19*Assumptions!$B$6,0)</f>
        <v>0</v>
      </c>
      <c r="C25" s="11">
        <f>IF(Assumptions!$B$22&gt;=1,C11*Assumptions!$B$39*Assumptions!$B$19*Assumptions!$B$6,0)</f>
        <v>1216844.594</v>
      </c>
      <c r="D25" s="11">
        <f>IF(Assumptions!$B$22&gt;=1,D11*Assumptions!$B$39*Assumptions!$B$19*Assumptions!$B$6,0)</f>
        <v>50712.57206</v>
      </c>
      <c r="E25" s="11">
        <f>IF(Assumptions!$B$22&gt;=1,E11*Assumptions!$B$39*Assumptions!$B$19*Assumptions!$B$6,0)</f>
        <v>50712.57206</v>
      </c>
      <c r="F25" s="11">
        <f>IF(Assumptions!$B$22&gt;=1,F11*Assumptions!$B$39*Assumptions!$B$19*Assumptions!$B$6,0)</f>
        <v>50712.57206</v>
      </c>
      <c r="G25" s="11">
        <f>IF(Assumptions!$B$22&gt;=1,G11*Assumptions!$B$39*Assumptions!$B$19*Assumptions!$B$6,0)</f>
        <v>50712.57206</v>
      </c>
      <c r="H25" s="11">
        <f>IF(Assumptions!$B$22&gt;=1,H11*Assumptions!$B$39*Assumptions!$B$19*Assumptions!$B$6,0)</f>
        <v>50712.57206</v>
      </c>
      <c r="I25" s="11">
        <f>IF(Assumptions!$B$22&gt;=1,I11*Assumptions!$B$39*Assumptions!$B$19*Assumptions!$B$6,0)</f>
        <v>3904053.788</v>
      </c>
      <c r="J25" s="11">
        <f>IF(Assumptions!$B$22&gt;=1,J11*Assumptions!$B$39*Assumptions!$B$19*Assumptions!$B$6,0)</f>
        <v>4064643.599</v>
      </c>
      <c r="K25" s="11">
        <f>IF(Assumptions!$B$22&gt;=1,K11*Assumptions!$B$39*Assumptions!$B$19*Assumptions!$B$6,0)</f>
        <v>4225233.411</v>
      </c>
      <c r="L25" s="11">
        <f>IF(Assumptions!$B$22&gt;=1,L11*Assumptions!$B$39*Assumptions!$B$19*Assumptions!$B$6,0)</f>
        <v>4385823.222</v>
      </c>
      <c r="M25" s="11">
        <f>IF(Assumptions!$B$22&gt;=1,M11*Assumptions!$B$39*Assumptions!$B$19*Assumptions!$B$6,0)</f>
        <v>4546413.034</v>
      </c>
      <c r="N25" s="11">
        <f>IF(Assumptions!$B$22&gt;=1,N11*Assumptions!$B$39*Assumptions!$B$19*Assumptions!$B$6,0)</f>
        <v>4707002.845</v>
      </c>
      <c r="O25" s="21">
        <f t="shared" si="6"/>
        <v>27303577.35</v>
      </c>
    </row>
    <row r="26" ht="15.0" customHeight="1">
      <c r="A26" s="20" t="s">
        <v>200</v>
      </c>
      <c r="B26" s="11">
        <f>IF(Assumptions!$B$22&gt;=1,B12*Assumptions!$B$39*Assumptions!$B$21*Assumptions!$B$6,0)</f>
        <v>0</v>
      </c>
      <c r="C26" s="11">
        <f>IF(Assumptions!$B$22&gt;=1,C12*Assumptions!$B$39*Assumptions!$B$21*Assumptions!$B$6,0)</f>
        <v>0</v>
      </c>
      <c r="D26" s="11">
        <f>IF(Assumptions!$B$22&gt;=1,D12*Assumptions!$B$39*Assumptions!$B$21*Assumptions!$B$6,0)</f>
        <v>1166132.022</v>
      </c>
      <c r="E26" s="11">
        <f>IF(Assumptions!$B$22&gt;=1,E12*Assumptions!$B$39*Assumptions!$B$21*Assumptions!$B$6,0)</f>
        <v>48599.10171</v>
      </c>
      <c r="F26" s="11">
        <f>IF(Assumptions!$B$22&gt;=1,F12*Assumptions!$B$39*Assumptions!$B$21*Assumptions!$B$6,0)</f>
        <v>48599.10171</v>
      </c>
      <c r="G26" s="11">
        <f>IF(Assumptions!$B$22&gt;=1,G12*Assumptions!$B$39*Assumptions!$B$21*Assumptions!$B$6,0)</f>
        <v>48599.10171</v>
      </c>
      <c r="H26" s="11">
        <f>IF(Assumptions!$B$22&gt;=1,H12*Assumptions!$B$39*Assumptions!$B$21*Assumptions!$B$6,0)</f>
        <v>48599.10171</v>
      </c>
      <c r="I26" s="11">
        <f>IF(Assumptions!$B$22&gt;=1,I12*Assumptions!$B$39*Assumptions!$B$21*Assumptions!$B$6,0)</f>
        <v>48599.10171</v>
      </c>
      <c r="J26" s="11">
        <f>IF(Assumptions!$B$22&gt;=1,J12*Assumptions!$B$39*Assumptions!$B$21*Assumptions!$B$6,0)</f>
        <v>3741350.506</v>
      </c>
      <c r="K26" s="11">
        <f>IF(Assumptions!$B$22&gt;=1,K12*Assumptions!$B$39*Assumptions!$B$21*Assumptions!$B$6,0)</f>
        <v>3895247.661</v>
      </c>
      <c r="L26" s="11">
        <f>IF(Assumptions!$B$22&gt;=1,L12*Assumptions!$B$39*Assumptions!$B$21*Assumptions!$B$6,0)</f>
        <v>4049144.817</v>
      </c>
      <c r="M26" s="11">
        <f>IF(Assumptions!$B$22&gt;=1,M12*Assumptions!$B$39*Assumptions!$B$21*Assumptions!$B$6,0)</f>
        <v>4203041.972</v>
      </c>
      <c r="N26" s="11">
        <f>IF(Assumptions!$B$22&gt;=1,N12*Assumptions!$B$39*Assumptions!$B$21*Assumptions!$B$6,0)</f>
        <v>4356939.128</v>
      </c>
      <c r="O26" s="21">
        <f t="shared" si="6"/>
        <v>21654851.61</v>
      </c>
    </row>
    <row r="27" ht="15.0" customHeight="1">
      <c r="A27" s="20" t="s">
        <v>133</v>
      </c>
      <c r="B27" s="11">
        <f>IF(OR(0=10,0=11),B15*Assumptions!$B$23,0)</f>
        <v>0</v>
      </c>
      <c r="C27" s="11">
        <f>IF(OR(1=10,1=11),C15*Assumptions!$B$23,0)</f>
        <v>0</v>
      </c>
      <c r="D27" s="11">
        <f>IF(OR(2=10,2=11),D15*Assumptions!$B$23,0)</f>
        <v>0</v>
      </c>
      <c r="E27" s="11">
        <f>IF(OR(3=10,3=11),E15*Assumptions!$B$23,0)</f>
        <v>0</v>
      </c>
      <c r="F27" s="11">
        <f>IF(OR(4=10,4=11),F15*Assumptions!$B$23,0)</f>
        <v>0</v>
      </c>
      <c r="G27" s="11">
        <f>IF(OR(5=10,5=11),G15*Assumptions!$B$23,0)</f>
        <v>0</v>
      </c>
      <c r="H27" s="11">
        <f>IF(OR(6=10,6=11),H15*Assumptions!$B$23,0)</f>
        <v>0</v>
      </c>
      <c r="I27" s="11">
        <f>IF(OR(7=10,7=11),I15*Assumptions!$B$23,0)</f>
        <v>0</v>
      </c>
      <c r="J27" s="11">
        <f>IF(OR(8=10,8=11),J15*Assumptions!$B$23,0)</f>
        <v>0</v>
      </c>
      <c r="K27" s="11">
        <f>IF(OR(9=10,9=11),K15*Assumptions!$B$23,0)</f>
        <v>0</v>
      </c>
      <c r="L27" s="11">
        <f>IF(OR(10=10,10=11),L15*Assumptions!$B$23,0)</f>
        <v>0</v>
      </c>
      <c r="M27" s="11">
        <f>IF(OR(11=10,11=11),M15*Assumptions!$B$23,0)</f>
        <v>0</v>
      </c>
      <c r="N27" s="11">
        <f>IF(OR(12=10,12=11),N15*Assumptions!$B$23,0)</f>
        <v>0</v>
      </c>
      <c r="O27" s="21">
        <f t="shared" si="6"/>
        <v>0</v>
      </c>
    </row>
    <row r="28" ht="15.0" customHeight="1">
      <c r="A28" s="20" t="s">
        <v>201</v>
      </c>
      <c r="B28" s="11">
        <f>B5*(Assumptions!$B$13/12)*Assumptions!$B$70</f>
        <v>0</v>
      </c>
      <c r="C28" s="11">
        <f>C5*(Assumptions!$B$13/12)*Assumptions!$B$70</f>
        <v>25856.6</v>
      </c>
      <c r="D28" s="11">
        <f>D5*(Assumptions!$B$13/12)*Assumptions!$B$70</f>
        <v>25856.6</v>
      </c>
      <c r="E28" s="11">
        <f>E5*(Assumptions!$B$13/12)*Assumptions!$B$70</f>
        <v>25856.6</v>
      </c>
      <c r="F28" s="11">
        <f>F5*(Assumptions!$B$13/12)*Assumptions!$B$70</f>
        <v>25856.6</v>
      </c>
      <c r="G28" s="11">
        <f>G5*(Assumptions!$B$13/12)*Assumptions!$B$70</f>
        <v>25856.6</v>
      </c>
      <c r="H28" s="11">
        <f>H5*(Assumptions!$B$13/12)*Assumptions!$B$70</f>
        <v>25856.6</v>
      </c>
      <c r="I28" s="11">
        <f>I5*(Assumptions!$B$13/12)*Assumptions!$B$70</f>
        <v>107735.8333</v>
      </c>
      <c r="J28" s="11">
        <f>J5*(Assumptions!$B$13/12)*Assumptions!$B$70</f>
        <v>189615.0667</v>
      </c>
      <c r="K28" s="11">
        <f>K5*(Assumptions!$B$13/12)*Assumptions!$B$70</f>
        <v>271494.3</v>
      </c>
      <c r="L28" s="11">
        <f>L5*(Assumptions!$B$13/12)*Assumptions!$B$70</f>
        <v>353373.5333</v>
      </c>
      <c r="M28" s="11">
        <f>M5*(Assumptions!$B$13/12)*Assumptions!$B$70</f>
        <v>435252.7667</v>
      </c>
      <c r="N28" s="11">
        <f>N5*(Assumptions!$B$13/12)*Assumptions!$B$70</f>
        <v>517132</v>
      </c>
      <c r="O28" s="21">
        <f t="shared" si="6"/>
        <v>2029743.1</v>
      </c>
    </row>
    <row r="29" ht="15.0" customHeight="1">
      <c r="A29" s="20" t="s">
        <v>202</v>
      </c>
      <c r="B29" s="11">
        <f>B15*Assumptions!$B$55</f>
        <v>0</v>
      </c>
      <c r="C29" s="11">
        <f>C15*Assumptions!$B$55</f>
        <v>13926.11036</v>
      </c>
      <c r="D29" s="11">
        <f>D15*Assumptions!$B$55</f>
        <v>13926.11036</v>
      </c>
      <c r="E29" s="11">
        <f>E15*Assumptions!$B$55</f>
        <v>13926.11036</v>
      </c>
      <c r="F29" s="11">
        <f>F15*Assumptions!$B$55</f>
        <v>13926.11036</v>
      </c>
      <c r="G29" s="11">
        <f>G15*Assumptions!$B$55</f>
        <v>13926.11036</v>
      </c>
      <c r="H29" s="11">
        <f>H15*Assumptions!$B$55</f>
        <v>13926.11036</v>
      </c>
      <c r="I29" s="11">
        <f>I15*Assumptions!$B$55</f>
        <v>58025.45983</v>
      </c>
      <c r="J29" s="11">
        <f>J15*Assumptions!$B$55</f>
        <v>102124.8093</v>
      </c>
      <c r="K29" s="11">
        <f>K15*Assumptions!$B$55</f>
        <v>146224.1588</v>
      </c>
      <c r="L29" s="11">
        <f>L15*Assumptions!$B$55</f>
        <v>190323.5082</v>
      </c>
      <c r="M29" s="11">
        <f>M15*Assumptions!$B$55</f>
        <v>234422.8577</v>
      </c>
      <c r="N29" s="11">
        <f>N15*Assumptions!$B$55</f>
        <v>278522.2072</v>
      </c>
      <c r="O29" s="21">
        <f t="shared" si="6"/>
        <v>1093199.663</v>
      </c>
    </row>
    <row r="30" ht="15.0" customHeight="1">
      <c r="A30" s="20" t="s">
        <v>203</v>
      </c>
      <c r="B30" s="11">
        <f>B15*Assumptions!$B$56*Assumptions!$B$6</f>
        <v>0</v>
      </c>
      <c r="C30" s="11">
        <f>C15*Assumptions!$B$56*Assumptions!$B$6</f>
        <v>0</v>
      </c>
      <c r="D30" s="11">
        <f>D15*Assumptions!$B$56*Assumptions!$B$6</f>
        <v>0</v>
      </c>
      <c r="E30" s="11">
        <f>E15*Assumptions!$B$56*Assumptions!$B$6</f>
        <v>0</v>
      </c>
      <c r="F30" s="11">
        <f>F15*Assumptions!$B$56*Assumptions!$B$6</f>
        <v>0</v>
      </c>
      <c r="G30" s="11">
        <f>G15*Assumptions!$B$56*Assumptions!$B$6</f>
        <v>0</v>
      </c>
      <c r="H30" s="11">
        <f>H15*Assumptions!$B$56*Assumptions!$B$6</f>
        <v>0</v>
      </c>
      <c r="I30" s="11">
        <f>I15*Assumptions!$B$56*Assumptions!$B$6</f>
        <v>0</v>
      </c>
      <c r="J30" s="11">
        <f>J15*Assumptions!$B$56*Assumptions!$B$6</f>
        <v>0</v>
      </c>
      <c r="K30" s="11">
        <f>K15*Assumptions!$B$56*Assumptions!$B$6</f>
        <v>0</v>
      </c>
      <c r="L30" s="11">
        <f>L15*Assumptions!$B$56*Assumptions!$B$6</f>
        <v>0</v>
      </c>
      <c r="M30" s="11">
        <f>M15*Assumptions!$B$56*Assumptions!$B$6</f>
        <v>0</v>
      </c>
      <c r="N30" s="11">
        <f>N15*Assumptions!$B$56*Assumptions!$B$6</f>
        <v>0</v>
      </c>
      <c r="O30" s="21">
        <f t="shared" si="6"/>
        <v>0</v>
      </c>
    </row>
    <row r="31" ht="15.0" customHeight="1">
      <c r="A31" s="20" t="s">
        <v>204</v>
      </c>
      <c r="B31" s="11">
        <f>B5*(Assumptions!$B$13/12)*Assumptions!$B$57*Assumptions!$B$58</f>
        <v>0</v>
      </c>
      <c r="C31" s="11">
        <f>C5*(Assumptions!$B$13/12)*Assumptions!$B$57*Assumptions!$B$58</f>
        <v>45990</v>
      </c>
      <c r="D31" s="11">
        <f>D5*(Assumptions!$B$13/12)*Assumptions!$B$57*Assumptions!$B$58</f>
        <v>45990</v>
      </c>
      <c r="E31" s="11">
        <f>E5*(Assumptions!$B$13/12)*Assumptions!$B$57*Assumptions!$B$58</f>
        <v>45990</v>
      </c>
      <c r="F31" s="11">
        <f>F5*(Assumptions!$B$13/12)*Assumptions!$B$57*Assumptions!$B$58</f>
        <v>45990</v>
      </c>
      <c r="G31" s="11">
        <f>G5*(Assumptions!$B$13/12)*Assumptions!$B$57*Assumptions!$B$58</f>
        <v>45990</v>
      </c>
      <c r="H31" s="11">
        <f>H5*(Assumptions!$B$13/12)*Assumptions!$B$57*Assumptions!$B$58</f>
        <v>45990</v>
      </c>
      <c r="I31" s="11">
        <f>I5*(Assumptions!$B$13/12)*Assumptions!$B$57*Assumptions!$B$58</f>
        <v>191625</v>
      </c>
      <c r="J31" s="11">
        <f>J5*(Assumptions!$B$13/12)*Assumptions!$B$57*Assumptions!$B$58</f>
        <v>337260</v>
      </c>
      <c r="K31" s="11">
        <f>K5*(Assumptions!$B$13/12)*Assumptions!$B$57*Assumptions!$B$58</f>
        <v>482895</v>
      </c>
      <c r="L31" s="11">
        <f>L5*(Assumptions!$B$13/12)*Assumptions!$B$57*Assumptions!$B$58</f>
        <v>628530</v>
      </c>
      <c r="M31" s="11">
        <f>M5*(Assumptions!$B$13/12)*Assumptions!$B$57*Assumptions!$B$58</f>
        <v>774165</v>
      </c>
      <c r="N31" s="11">
        <f>N5*(Assumptions!$B$13/12)*Assumptions!$B$57*Assumptions!$B$58</f>
        <v>919800</v>
      </c>
      <c r="O31" s="21">
        <f t="shared" si="6"/>
        <v>3610215</v>
      </c>
    </row>
    <row r="32" ht="15.0" customHeight="1">
      <c r="A32" s="20" t="s">
        <v>205</v>
      </c>
      <c r="B32" s="11">
        <f>B6*Assumptions!$B$60*Assumptions!$B$59/1000000*Assumptions!$B$61</f>
        <v>0</v>
      </c>
      <c r="C32" s="11">
        <f>C6*Assumptions!$B$60*Assumptions!$B$59/1000000*Assumptions!$B$61</f>
        <v>192.2947841</v>
      </c>
      <c r="D32" s="11">
        <f>D6*Assumptions!$B$60*Assumptions!$B$59/1000000*Assumptions!$B$61</f>
        <v>192.2947841</v>
      </c>
      <c r="E32" s="11">
        <f>E6*Assumptions!$B$60*Assumptions!$B$59/1000000*Assumptions!$B$61</f>
        <v>192.2947841</v>
      </c>
      <c r="F32" s="11">
        <f>F6*Assumptions!$B$60*Assumptions!$B$59/1000000*Assumptions!$B$61</f>
        <v>192.2947841</v>
      </c>
      <c r="G32" s="11">
        <f>G6*Assumptions!$B$60*Assumptions!$B$59/1000000*Assumptions!$B$61</f>
        <v>192.2947841</v>
      </c>
      <c r="H32" s="11">
        <f>H6*Assumptions!$B$60*Assumptions!$B$59/1000000*Assumptions!$B$61</f>
        <v>192.2947841</v>
      </c>
      <c r="I32" s="11">
        <f>I6*Assumptions!$B$60*Assumptions!$B$59/1000000*Assumptions!$B$61</f>
        <v>801.2282672</v>
      </c>
      <c r="J32" s="11">
        <f>J6*Assumptions!$B$60*Assumptions!$B$59/1000000*Assumptions!$B$61</f>
        <v>1410.16175</v>
      </c>
      <c r="K32" s="11">
        <f>K6*Assumptions!$B$60*Assumptions!$B$59/1000000*Assumptions!$B$61</f>
        <v>2019.095233</v>
      </c>
      <c r="L32" s="11">
        <f>L6*Assumptions!$B$60*Assumptions!$B$59/1000000*Assumptions!$B$61</f>
        <v>2628.028716</v>
      </c>
      <c r="M32" s="11">
        <f>M6*Assumptions!$B$60*Assumptions!$B$59/1000000*Assumptions!$B$61</f>
        <v>3236.962199</v>
      </c>
      <c r="N32" s="11">
        <f>N6*Assumptions!$B$60*Assumptions!$B$59/1000000*Assumptions!$B$61</f>
        <v>3845.895682</v>
      </c>
      <c r="O32" s="21">
        <f t="shared" si="6"/>
        <v>15095.14055</v>
      </c>
    </row>
    <row r="33" ht="15.0" customHeight="1">
      <c r="A33" s="20" t="s">
        <v>206</v>
      </c>
      <c r="B33" s="11">
        <f>B8*Assumptions!$B$68</f>
        <v>0</v>
      </c>
      <c r="C33" s="11">
        <f>C8*Assumptions!$B$68</f>
        <v>224000</v>
      </c>
      <c r="D33" s="11">
        <f>D8*Assumptions!$B$68</f>
        <v>0</v>
      </c>
      <c r="E33" s="11">
        <f>E8*Assumptions!$B$68</f>
        <v>0</v>
      </c>
      <c r="F33" s="11">
        <f>F8*Assumptions!$B$68</f>
        <v>0</v>
      </c>
      <c r="G33" s="11">
        <f>G8*Assumptions!$B$68</f>
        <v>0</v>
      </c>
      <c r="H33" s="11">
        <f>H8*Assumptions!$B$68</f>
        <v>0</v>
      </c>
      <c r="I33" s="11">
        <f>I8*Assumptions!$B$68</f>
        <v>710000</v>
      </c>
      <c r="J33" s="11">
        <f>J8*Assumptions!$B$68</f>
        <v>710000</v>
      </c>
      <c r="K33" s="11">
        <f>K8*Assumptions!$B$68</f>
        <v>708000</v>
      </c>
      <c r="L33" s="11">
        <f>L8*Assumptions!$B$68</f>
        <v>710000</v>
      </c>
      <c r="M33" s="11">
        <f>M8*Assumptions!$B$68</f>
        <v>710000</v>
      </c>
      <c r="N33" s="11">
        <f>N8*Assumptions!$B$68</f>
        <v>708000</v>
      </c>
      <c r="O33" s="21">
        <f t="shared" si="6"/>
        <v>4480000</v>
      </c>
    </row>
    <row r="34" ht="15.0" customHeight="1">
      <c r="A34" s="20" t="s">
        <v>137</v>
      </c>
      <c r="B34" s="11">
        <f>SUM(B25:B33)*Assumptions!$B$62</f>
        <v>0</v>
      </c>
      <c r="C34" s="11">
        <f>SUM(C25:C33)*Assumptions!$B$62</f>
        <v>152680.96</v>
      </c>
      <c r="D34" s="11">
        <f>SUM(D25:D33)*Assumptions!$B$62</f>
        <v>130280.96</v>
      </c>
      <c r="E34" s="11">
        <f>SUM(E25:E33)*Assumptions!$B$62</f>
        <v>18527.66789</v>
      </c>
      <c r="F34" s="11">
        <f>SUM(F25:F33)*Assumptions!$B$62</f>
        <v>18527.66789</v>
      </c>
      <c r="G34" s="11">
        <f>SUM(G25:G33)*Assumptions!$B$62</f>
        <v>18527.66789</v>
      </c>
      <c r="H34" s="11">
        <f>SUM(H25:H33)*Assumptions!$B$62</f>
        <v>18527.66789</v>
      </c>
      <c r="I34" s="11">
        <f>SUM(I25:I33)*Assumptions!$B$62</f>
        <v>502084.0411</v>
      </c>
      <c r="J34" s="11">
        <f>SUM(J25:J33)*Assumptions!$B$62</f>
        <v>914640.4143</v>
      </c>
      <c r="K34" s="11">
        <f>SUM(K25:K33)*Assumptions!$B$62</f>
        <v>973111.3626</v>
      </c>
      <c r="L34" s="11">
        <f>SUM(L25:L33)*Assumptions!$B$62</f>
        <v>1031982.311</v>
      </c>
      <c r="M34" s="11">
        <f>SUM(M25:M33)*Assumptions!$B$62</f>
        <v>1090653.259</v>
      </c>
      <c r="N34" s="11">
        <f>SUM(N25:N33)*Assumptions!$B$62</f>
        <v>1149124.208</v>
      </c>
      <c r="O34" s="21">
        <f t="shared" si="6"/>
        <v>6018668.187</v>
      </c>
    </row>
    <row r="35" ht="15.0" customHeight="1">
      <c r="A35" s="20" t="s">
        <v>207</v>
      </c>
      <c r="B35" s="11">
        <f>Assumptions!$B$64</f>
        <v>1500000</v>
      </c>
      <c r="C35" s="11">
        <f t="shared" ref="C35:N35" si="7">0</f>
        <v>0</v>
      </c>
      <c r="D35" s="11">
        <f t="shared" si="7"/>
        <v>0</v>
      </c>
      <c r="E35" s="11">
        <f t="shared" si="7"/>
        <v>0</v>
      </c>
      <c r="F35" s="11">
        <f t="shared" si="7"/>
        <v>0</v>
      </c>
      <c r="G35" s="11">
        <f t="shared" si="7"/>
        <v>0</v>
      </c>
      <c r="H35" s="11">
        <f t="shared" si="7"/>
        <v>0</v>
      </c>
      <c r="I35" s="11">
        <f t="shared" si="7"/>
        <v>0</v>
      </c>
      <c r="J35" s="11">
        <f t="shared" si="7"/>
        <v>0</v>
      </c>
      <c r="K35" s="11">
        <f t="shared" si="7"/>
        <v>0</v>
      </c>
      <c r="L35" s="11">
        <f t="shared" si="7"/>
        <v>0</v>
      </c>
      <c r="M35" s="11">
        <f t="shared" si="7"/>
        <v>0</v>
      </c>
      <c r="N35" s="11">
        <f t="shared" si="7"/>
        <v>0</v>
      </c>
      <c r="O35" s="21">
        <f t="shared" si="6"/>
        <v>1500000</v>
      </c>
    </row>
    <row r="36" ht="15.0" customHeight="1">
      <c r="A36" s="20" t="s">
        <v>208</v>
      </c>
      <c r="B36" s="11">
        <f>Assumptions!$B$65*Assumptions!$B$66</f>
        <v>50000</v>
      </c>
      <c r="C36" s="11">
        <f t="shared" ref="C36:N36" si="8">0</f>
        <v>0</v>
      </c>
      <c r="D36" s="11">
        <f t="shared" si="8"/>
        <v>0</v>
      </c>
      <c r="E36" s="11">
        <f t="shared" si="8"/>
        <v>0</v>
      </c>
      <c r="F36" s="11">
        <f t="shared" si="8"/>
        <v>0</v>
      </c>
      <c r="G36" s="11">
        <f t="shared" si="8"/>
        <v>0</v>
      </c>
      <c r="H36" s="11">
        <f t="shared" si="8"/>
        <v>0</v>
      </c>
      <c r="I36" s="11">
        <f t="shared" si="8"/>
        <v>0</v>
      </c>
      <c r="J36" s="11">
        <f t="shared" si="8"/>
        <v>0</v>
      </c>
      <c r="K36" s="11">
        <f t="shared" si="8"/>
        <v>0</v>
      </c>
      <c r="L36" s="11">
        <f t="shared" si="8"/>
        <v>0</v>
      </c>
      <c r="M36" s="11">
        <f t="shared" si="8"/>
        <v>0</v>
      </c>
      <c r="N36" s="11">
        <f t="shared" si="8"/>
        <v>0</v>
      </c>
      <c r="O36" s="21">
        <f t="shared" si="6"/>
        <v>50000</v>
      </c>
    </row>
    <row r="37" ht="15.0" customHeight="1">
      <c r="A37" s="20" t="s">
        <v>209</v>
      </c>
      <c r="B37" s="11">
        <f>Assumptions!$B$67</f>
        <v>200000</v>
      </c>
      <c r="C37" s="11">
        <f t="shared" ref="C37:N37" si="9">0</f>
        <v>0</v>
      </c>
      <c r="D37" s="11">
        <f t="shared" si="9"/>
        <v>0</v>
      </c>
      <c r="E37" s="11">
        <f t="shared" si="9"/>
        <v>0</v>
      </c>
      <c r="F37" s="11">
        <f t="shared" si="9"/>
        <v>0</v>
      </c>
      <c r="G37" s="11">
        <f t="shared" si="9"/>
        <v>0</v>
      </c>
      <c r="H37" s="11">
        <f t="shared" si="9"/>
        <v>0</v>
      </c>
      <c r="I37" s="11">
        <f t="shared" si="9"/>
        <v>0</v>
      </c>
      <c r="J37" s="11">
        <f t="shared" si="9"/>
        <v>0</v>
      </c>
      <c r="K37" s="11">
        <f t="shared" si="9"/>
        <v>0</v>
      </c>
      <c r="L37" s="11">
        <f t="shared" si="9"/>
        <v>0</v>
      </c>
      <c r="M37" s="11">
        <f t="shared" si="9"/>
        <v>0</v>
      </c>
      <c r="N37" s="11">
        <f t="shared" si="9"/>
        <v>0</v>
      </c>
      <c r="O37" s="21">
        <f t="shared" si="6"/>
        <v>200000</v>
      </c>
    </row>
    <row r="38" ht="15.0" customHeight="1">
      <c r="A38" s="22" t="s">
        <v>126</v>
      </c>
      <c r="B38" s="21">
        <f t="shared" ref="B38:N38" si="10">SUM(B22:B37)</f>
        <v>1750000</v>
      </c>
      <c r="C38" s="21">
        <f t="shared" si="10"/>
        <v>3298465.196</v>
      </c>
      <c r="D38" s="21">
        <f t="shared" si="10"/>
        <v>3052065.196</v>
      </c>
      <c r="E38" s="21">
        <f t="shared" si="10"/>
        <v>1822778.984</v>
      </c>
      <c r="F38" s="21">
        <f t="shared" si="10"/>
        <v>1822778.984</v>
      </c>
      <c r="G38" s="21">
        <f t="shared" si="10"/>
        <v>1822778.984</v>
      </c>
      <c r="H38" s="21">
        <f t="shared" si="10"/>
        <v>1822778.984</v>
      </c>
      <c r="I38" s="21">
        <f t="shared" si="10"/>
        <v>12268652.11</v>
      </c>
      <c r="J38" s="21">
        <f t="shared" si="10"/>
        <v>21933525.23</v>
      </c>
      <c r="K38" s="21">
        <f t="shared" si="10"/>
        <v>27703458.68</v>
      </c>
      <c r="L38" s="21">
        <f t="shared" si="10"/>
        <v>33477792.13</v>
      </c>
      <c r="M38" s="21">
        <f t="shared" si="10"/>
        <v>39249925.57</v>
      </c>
      <c r="N38" s="21">
        <f t="shared" si="10"/>
        <v>45019859.02</v>
      </c>
      <c r="O38" s="21">
        <f t="shared" si="6"/>
        <v>195044859.1</v>
      </c>
    </row>
    <row r="39" ht="19.5" customHeight="1">
      <c r="A39" s="1" t="s">
        <v>210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</row>
    <row r="40" ht="27.75" customHeight="1">
      <c r="A40" s="4" t="s">
        <v>170</v>
      </c>
      <c r="B40" s="4" t="s">
        <v>171</v>
      </c>
      <c r="C40" s="4" t="s">
        <v>172</v>
      </c>
      <c r="D40" s="4" t="s">
        <v>173</v>
      </c>
      <c r="E40" s="4" t="s">
        <v>174</v>
      </c>
      <c r="F40" s="4" t="s">
        <v>175</v>
      </c>
      <c r="G40" s="4" t="s">
        <v>176</v>
      </c>
      <c r="H40" s="4" t="s">
        <v>177</v>
      </c>
      <c r="I40" s="4" t="s">
        <v>178</v>
      </c>
      <c r="J40" s="4" t="s">
        <v>179</v>
      </c>
      <c r="K40" s="4" t="s">
        <v>180</v>
      </c>
      <c r="L40" s="4" t="s">
        <v>181</v>
      </c>
      <c r="M40" s="4" t="s">
        <v>182</v>
      </c>
      <c r="N40" s="4" t="s">
        <v>183</v>
      </c>
      <c r="O40" s="4" t="s">
        <v>184</v>
      </c>
    </row>
    <row r="41" ht="15.0" customHeight="1">
      <c r="A41" s="22" t="s">
        <v>146</v>
      </c>
      <c r="B41" s="21">
        <f t="shared" ref="B41:N41" si="11">B19-B38</f>
        <v>-1750000</v>
      </c>
      <c r="C41" s="21">
        <f t="shared" si="11"/>
        <v>-1611205.921</v>
      </c>
      <c r="D41" s="21">
        <f t="shared" si="11"/>
        <v>-1363215.759</v>
      </c>
      <c r="E41" s="21">
        <f t="shared" si="11"/>
        <v>-132339.3832</v>
      </c>
      <c r="F41" s="21">
        <f t="shared" si="11"/>
        <v>-130749.2205</v>
      </c>
      <c r="G41" s="21">
        <f t="shared" si="11"/>
        <v>-129159.0578</v>
      </c>
      <c r="H41" s="21">
        <f t="shared" si="11"/>
        <v>-127568.8951</v>
      </c>
      <c r="I41" s="21">
        <f t="shared" si="11"/>
        <v>-5198651.059</v>
      </c>
      <c r="J41" s="21">
        <f t="shared" si="11"/>
        <v>-9478662.191</v>
      </c>
      <c r="K41" s="21">
        <f t="shared" si="11"/>
        <v>-9853662.62</v>
      </c>
      <c r="L41" s="21">
        <f t="shared" si="11"/>
        <v>-10222992.02</v>
      </c>
      <c r="M41" s="21">
        <f t="shared" si="11"/>
        <v>-10580050.39</v>
      </c>
      <c r="N41" s="21">
        <f t="shared" si="11"/>
        <v>-10924837.72</v>
      </c>
      <c r="O41" s="21">
        <f>SUM(B41:N41)</f>
        <v>-61503094.24</v>
      </c>
    </row>
    <row r="42" ht="15.0" customHeight="1">
      <c r="A42" s="20" t="s">
        <v>147</v>
      </c>
      <c r="B42" s="11">
        <f>B41</f>
        <v>-1750000</v>
      </c>
      <c r="C42" s="11">
        <f t="shared" ref="C42:N42" si="12">B42+C41</f>
        <v>-3361205.921</v>
      </c>
      <c r="D42" s="11">
        <f t="shared" si="12"/>
        <v>-4724421.68</v>
      </c>
      <c r="E42" s="11">
        <f t="shared" si="12"/>
        <v>-4856761.063</v>
      </c>
      <c r="F42" s="11">
        <f t="shared" si="12"/>
        <v>-4987510.284</v>
      </c>
      <c r="G42" s="11">
        <f t="shared" si="12"/>
        <v>-5116669.342</v>
      </c>
      <c r="H42" s="11">
        <f t="shared" si="12"/>
        <v>-5244238.237</v>
      </c>
      <c r="I42" s="11">
        <f t="shared" si="12"/>
        <v>-10442889.3</v>
      </c>
      <c r="J42" s="11">
        <f t="shared" si="12"/>
        <v>-19921551.49</v>
      </c>
      <c r="K42" s="11">
        <f t="shared" si="12"/>
        <v>-29775214.11</v>
      </c>
      <c r="L42" s="11">
        <f t="shared" si="12"/>
        <v>-39998206.13</v>
      </c>
      <c r="M42" s="11">
        <f t="shared" si="12"/>
        <v>-50578256.51</v>
      </c>
      <c r="N42" s="11">
        <f t="shared" si="12"/>
        <v>-61503094.24</v>
      </c>
      <c r="O42" s="21">
        <f>N42</f>
        <v>-61503094.24</v>
      </c>
    </row>
    <row r="43" ht="15.0" customHeight="1">
      <c r="A43" s="20" t="s">
        <v>148</v>
      </c>
      <c r="B43" s="8" t="str">
        <f t="shared" ref="B43:N43" si="13">IF(B42&gt;=0,"Yes","No")</f>
        <v>No</v>
      </c>
      <c r="C43" s="8" t="str">
        <f t="shared" si="13"/>
        <v>No</v>
      </c>
      <c r="D43" s="8" t="str">
        <f t="shared" si="13"/>
        <v>No</v>
      </c>
      <c r="E43" s="8" t="str">
        <f t="shared" si="13"/>
        <v>No</v>
      </c>
      <c r="F43" s="8" t="str">
        <f t="shared" si="13"/>
        <v>No</v>
      </c>
      <c r="G43" s="8" t="str">
        <f t="shared" si="13"/>
        <v>No</v>
      </c>
      <c r="H43" s="8" t="str">
        <f t="shared" si="13"/>
        <v>No</v>
      </c>
      <c r="I43" s="8" t="str">
        <f t="shared" si="13"/>
        <v>No</v>
      </c>
      <c r="J43" s="8" t="str">
        <f t="shared" si="13"/>
        <v>No</v>
      </c>
      <c r="K43" s="8" t="str">
        <f t="shared" si="13"/>
        <v>No</v>
      </c>
      <c r="L43" s="8" t="str">
        <f t="shared" si="13"/>
        <v>No</v>
      </c>
      <c r="M43" s="8" t="str">
        <f t="shared" si="13"/>
        <v>No</v>
      </c>
      <c r="N43" s="8" t="str">
        <f t="shared" si="13"/>
        <v>No</v>
      </c>
      <c r="O43" s="20"/>
    </row>
    <row r="44" ht="15.0" customHeight="1">
      <c r="A44" s="20" t="s">
        <v>211</v>
      </c>
      <c r="B44" s="16" t="str">
        <f>IF(B42&gt;=0,0,"")</f>
        <v/>
      </c>
      <c r="C44" s="16" t="str">
        <f>IF(AND(B42&lt;0,C42&gt;=0),0+(-B42)/C41,"")</f>
        <v/>
      </c>
      <c r="D44" s="16" t="str">
        <f>IF(AND(C42&lt;0,D42&gt;=0),1+(-C42)/D41,"")</f>
        <v/>
      </c>
      <c r="E44" s="16" t="str">
        <f>IF(AND(D42&lt;0,E42&gt;=0),2+(-D42)/E41,"")</f>
        <v/>
      </c>
      <c r="F44" s="16" t="str">
        <f>IF(AND(E42&lt;0,F42&gt;=0),3+(-E42)/F41,"")</f>
        <v/>
      </c>
      <c r="G44" s="16" t="str">
        <f>IF(AND(F42&lt;0,G42&gt;=0),4+(-F42)/G41,"")</f>
        <v/>
      </c>
      <c r="H44" s="16" t="str">
        <f>IF(AND(G42&lt;0,H42&gt;=0),5+(-G42)/H41,"")</f>
        <v/>
      </c>
      <c r="I44" s="16" t="str">
        <f>IF(AND(H42&lt;0,I42&gt;=0),6+(-H42)/I41,"")</f>
        <v/>
      </c>
      <c r="J44" s="16" t="str">
        <f>IF(AND(I42&lt;0,J42&gt;=0),7+(-I42)/J41,"")</f>
        <v/>
      </c>
      <c r="K44" s="16" t="str">
        <f>IF(AND(J42&lt;0,K42&gt;=0),8+(-J42)/K41,"")</f>
        <v/>
      </c>
      <c r="L44" s="16" t="str">
        <f>IF(AND(K42&lt;0,L42&gt;=0),9+(-K42)/L41,"")</f>
        <v/>
      </c>
      <c r="M44" s="16" t="str">
        <f>IF(AND(L42&lt;0,M42&gt;=0),10+(-L42)/M41,"")</f>
        <v/>
      </c>
      <c r="N44" s="16" t="str">
        <f>IF(AND(M42&lt;0,N42&gt;=0),11+(-M42)/N41,"")</f>
        <v/>
      </c>
      <c r="O44" s="36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ht="15.0" customHeight="1">
      <c r="A46" s="37" t="s">
        <v>212</v>
      </c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O1"/>
    <mergeCell ref="A2:O2"/>
    <mergeCell ref="A13:O13"/>
    <mergeCell ref="A20:O20"/>
    <mergeCell ref="A39:O39"/>
    <mergeCell ref="A46:O46"/>
  </mergeCells>
  <printOptions/>
  <pageMargins bottom="1.0" footer="0.0" header="0.0" left="0.75" right="0.75" top="1.0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6" width="16.0"/>
    <col customWidth="1" min="7" max="7" width="60.0"/>
  </cols>
  <sheetData>
    <row r="1" ht="19.5" customHeight="1">
      <c r="A1" s="1" t="s">
        <v>213</v>
      </c>
      <c r="B1" s="2"/>
      <c r="C1" s="2"/>
      <c r="D1" s="2"/>
      <c r="E1" s="2"/>
      <c r="F1" s="2"/>
      <c r="G1" s="3"/>
    </row>
    <row r="3" ht="19.5" customHeight="1">
      <c r="A3" s="1" t="s">
        <v>214</v>
      </c>
      <c r="B3" s="2"/>
      <c r="C3" s="2"/>
    </row>
    <row r="4" ht="15.0" customHeight="1">
      <c r="A4" s="4" t="s">
        <v>215</v>
      </c>
      <c r="B4" s="4" t="s">
        <v>2</v>
      </c>
      <c r="C4" s="4" t="s">
        <v>3</v>
      </c>
    </row>
    <row r="5" ht="30.0" customHeight="1">
      <c r="A5" s="38" t="s">
        <v>216</v>
      </c>
      <c r="B5" s="13">
        <f>Assumptions!$B$42</f>
        <v>30</v>
      </c>
      <c r="C5" s="8" t="s">
        <v>60</v>
      </c>
    </row>
    <row r="6" ht="18.0" customHeight="1">
      <c r="A6" s="38" t="s">
        <v>217</v>
      </c>
      <c r="B6" s="12">
        <f>Assumptions!$B$39</f>
        <v>0.757018393</v>
      </c>
      <c r="C6" s="8" t="s">
        <v>10</v>
      </c>
    </row>
    <row r="7" ht="18.0" customHeight="1">
      <c r="A7" s="38" t="s">
        <v>218</v>
      </c>
      <c r="B7" s="11">
        <f>Assumptions!$B$17</f>
        <v>7</v>
      </c>
      <c r="C7" s="8" t="s">
        <v>18</v>
      </c>
    </row>
    <row r="8" ht="18.0" customHeight="1">
      <c r="A8" s="38" t="s">
        <v>219</v>
      </c>
      <c r="B8" s="14">
        <f>Assumptions!$B$23</f>
        <v>0</v>
      </c>
      <c r="C8" s="8" t="s">
        <v>18</v>
      </c>
    </row>
    <row r="9" ht="18.0" customHeight="1">
      <c r="A9" s="38" t="s">
        <v>220</v>
      </c>
      <c r="B9" s="16">
        <f>Assumptions!$B$13/12</f>
        <v>30.41666667</v>
      </c>
      <c r="C9" s="8" t="s">
        <v>22</v>
      </c>
    </row>
    <row r="10" ht="30.0" customHeight="1">
      <c r="A10" s="38" t="s">
        <v>221</v>
      </c>
      <c r="B10" s="13">
        <f>Assumptions!$B$24</f>
        <v>5</v>
      </c>
      <c r="C10" s="8" t="s">
        <v>22</v>
      </c>
    </row>
    <row r="11" ht="30.0" customHeight="1">
      <c r="A11" s="38" t="s">
        <v>222</v>
      </c>
      <c r="B11" s="16">
        <v>2.0</v>
      </c>
      <c r="C11" s="8" t="s">
        <v>22</v>
      </c>
    </row>
    <row r="12" ht="30.0" customHeight="1">
      <c r="A12" s="38" t="s">
        <v>223</v>
      </c>
      <c r="B12" s="13">
        <v>60.0</v>
      </c>
      <c r="C12" s="8" t="s">
        <v>224</v>
      </c>
    </row>
    <row r="13" ht="30.0" customHeight="1">
      <c r="A13" s="38" t="s">
        <v>225</v>
      </c>
      <c r="B13" s="16">
        <v>4.5</v>
      </c>
      <c r="C13" s="8" t="s">
        <v>226</v>
      </c>
    </row>
    <row r="14" ht="30.0" customHeight="1">
      <c r="A14" s="38" t="s">
        <v>227</v>
      </c>
      <c r="B14" s="11">
        <v>14000.0</v>
      </c>
      <c r="C14" s="8" t="s">
        <v>228</v>
      </c>
    </row>
    <row r="15" ht="18.0" customHeight="1">
      <c r="A15" s="38" t="s">
        <v>229</v>
      </c>
      <c r="B15" s="13">
        <v>450.0</v>
      </c>
      <c r="C15" s="8" t="s">
        <v>226</v>
      </c>
    </row>
    <row r="16" ht="30.0" customHeight="1">
      <c r="A16" s="38" t="s">
        <v>230</v>
      </c>
      <c r="B16" s="14">
        <f>B14/B15</f>
        <v>31.11111111</v>
      </c>
      <c r="C16" s="8" t="s">
        <v>231</v>
      </c>
    </row>
    <row r="18" ht="19.5" customHeight="1">
      <c r="A18" s="1" t="s">
        <v>232</v>
      </c>
      <c r="B18" s="2"/>
      <c r="C18" s="2"/>
      <c r="D18" s="2"/>
      <c r="E18" s="2"/>
      <c r="F18" s="2"/>
      <c r="G18" s="3"/>
    </row>
    <row r="19" ht="15.0" customHeight="1">
      <c r="A19" s="4" t="s">
        <v>233</v>
      </c>
      <c r="B19" s="4" t="s">
        <v>2</v>
      </c>
      <c r="C19" s="39" t="s">
        <v>3</v>
      </c>
      <c r="D19" s="2"/>
      <c r="E19" s="2"/>
      <c r="F19" s="3"/>
      <c r="G19" s="4" t="s">
        <v>234</v>
      </c>
    </row>
    <row r="20" ht="15.0" customHeight="1">
      <c r="A20" s="38" t="s">
        <v>235</v>
      </c>
      <c r="B20" s="13">
        <f>$B$5*$B$6*$B$9</f>
        <v>690.7792836</v>
      </c>
      <c r="C20" s="40" t="s">
        <v>224</v>
      </c>
      <c r="D20" s="2"/>
      <c r="E20" s="2"/>
      <c r="F20" s="3"/>
      <c r="G20" s="41" t="s">
        <v>236</v>
      </c>
    </row>
    <row r="21" ht="15.0" customHeight="1">
      <c r="A21" s="38" t="s">
        <v>237</v>
      </c>
      <c r="B21" s="11">
        <f>B20*$B$7</f>
        <v>4835.454985</v>
      </c>
      <c r="C21" s="40" t="s">
        <v>238</v>
      </c>
      <c r="D21" s="2"/>
      <c r="E21" s="2"/>
      <c r="F21" s="3"/>
      <c r="G21" s="41" t="s">
        <v>239</v>
      </c>
    </row>
    <row r="22" ht="15.0" customHeight="1">
      <c r="A22" s="38" t="s">
        <v>240</v>
      </c>
      <c r="B22" s="11">
        <f>B20*$B$8*2/12</f>
        <v>0</v>
      </c>
      <c r="C22" s="40" t="s">
        <v>238</v>
      </c>
      <c r="D22" s="2"/>
      <c r="E22" s="2"/>
      <c r="F22" s="3"/>
      <c r="G22" s="41" t="s">
        <v>241</v>
      </c>
    </row>
    <row r="23" ht="15.0" customHeight="1">
      <c r="A23" s="42" t="s">
        <v>242</v>
      </c>
      <c r="B23" s="21">
        <f>B21+B22</f>
        <v>4835.454985</v>
      </c>
      <c r="C23" s="40" t="s">
        <v>238</v>
      </c>
      <c r="D23" s="2"/>
      <c r="E23" s="2"/>
      <c r="F23" s="3"/>
      <c r="G23" s="41"/>
    </row>
    <row r="24" ht="15.0" customHeight="1">
      <c r="A24" s="38" t="s">
        <v>243</v>
      </c>
      <c r="B24" s="13">
        <f>$B$5*($B$6*$B$11+(1-$B$6)*$B$10)</f>
        <v>81.86834463</v>
      </c>
      <c r="C24" s="40" t="s">
        <v>224</v>
      </c>
      <c r="D24" s="2"/>
      <c r="E24" s="2"/>
      <c r="F24" s="3"/>
      <c r="G24" s="41" t="s">
        <v>244</v>
      </c>
    </row>
    <row r="25" ht="15.0" customHeight="1">
      <c r="A25" s="38" t="s">
        <v>245</v>
      </c>
      <c r="B25" s="13">
        <f>ROUNDUP(B24/$B$12,0)</f>
        <v>2</v>
      </c>
      <c r="C25" s="40" t="s">
        <v>246</v>
      </c>
      <c r="D25" s="2"/>
      <c r="E25" s="2"/>
      <c r="F25" s="3"/>
      <c r="G25" s="41" t="s">
        <v>247</v>
      </c>
    </row>
    <row r="26" ht="15.0" customHeight="1">
      <c r="A26" s="38" t="s">
        <v>248</v>
      </c>
      <c r="B26" s="16">
        <f>B25*$B$13</f>
        <v>9</v>
      </c>
      <c r="C26" s="40" t="s">
        <v>226</v>
      </c>
      <c r="D26" s="2"/>
      <c r="E26" s="2"/>
      <c r="F26" s="3"/>
      <c r="G26" s="41" t="s">
        <v>249</v>
      </c>
    </row>
    <row r="27" ht="15.0" customHeight="1">
      <c r="A27" s="38" t="s">
        <v>250</v>
      </c>
      <c r="B27" s="12">
        <f>B26/$B$15</f>
        <v>0.02</v>
      </c>
      <c r="C27" s="40" t="s">
        <v>10</v>
      </c>
      <c r="D27" s="2"/>
      <c r="E27" s="2"/>
      <c r="F27" s="3"/>
      <c r="G27" s="41" t="s">
        <v>251</v>
      </c>
    </row>
    <row r="28" ht="15.0" customHeight="1">
      <c r="A28" s="38" t="s">
        <v>252</v>
      </c>
      <c r="B28" s="11">
        <f>B26*$B$16</f>
        <v>280</v>
      </c>
      <c r="C28" s="40" t="s">
        <v>238</v>
      </c>
      <c r="D28" s="2"/>
      <c r="E28" s="2"/>
      <c r="F28" s="3"/>
      <c r="G28" s="41" t="s">
        <v>253</v>
      </c>
    </row>
    <row r="29" ht="15.0" customHeight="1">
      <c r="A29" s="42" t="s">
        <v>254</v>
      </c>
      <c r="B29" s="21">
        <f>B23-B28</f>
        <v>4555.454985</v>
      </c>
      <c r="C29" s="40" t="s">
        <v>238</v>
      </c>
      <c r="D29" s="2"/>
      <c r="E29" s="2"/>
      <c r="F29" s="3"/>
      <c r="G29" s="41" t="s">
        <v>255</v>
      </c>
    </row>
    <row r="30" ht="15.0" customHeight="1">
      <c r="A30" s="38" t="s">
        <v>256</v>
      </c>
      <c r="B30" s="43">
        <f>B23/B28</f>
        <v>17.26948209</v>
      </c>
      <c r="C30" s="40" t="s">
        <v>238</v>
      </c>
      <c r="D30" s="2"/>
      <c r="E30" s="2"/>
      <c r="F30" s="3"/>
      <c r="G30" s="41"/>
    </row>
    <row r="31" ht="15.0" customHeight="1">
      <c r="A31" s="38" t="s">
        <v>257</v>
      </c>
      <c r="B31" s="8" t="str">
        <f>TEXT(B23/B26,"₹#,##0")&amp;" vs "&amp;TEXT($B$16,"₹#,##0")</f>
        <v>₹537 vs ₹31</v>
      </c>
      <c r="C31" s="40" t="s">
        <v>258</v>
      </c>
      <c r="D31" s="2"/>
      <c r="E31" s="2"/>
      <c r="F31" s="3"/>
      <c r="G31" s="41" t="s">
        <v>259</v>
      </c>
    </row>
    <row r="32" ht="15.0" customHeight="1">
      <c r="A32" s="38" t="s">
        <v>260</v>
      </c>
      <c r="B32" s="11">
        <f>Assumptions!$B$25</f>
        <v>5000</v>
      </c>
      <c r="C32" s="40" t="s">
        <v>261</v>
      </c>
      <c r="D32" s="2"/>
      <c r="E32" s="2"/>
      <c r="F32" s="3"/>
      <c r="G32" s="41" t="s">
        <v>262</v>
      </c>
    </row>
    <row r="33" ht="15.75" customHeight="1"/>
    <row r="34" ht="19.5" customHeight="1">
      <c r="A34" s="1" t="s">
        <v>263</v>
      </c>
      <c r="B34" s="2"/>
      <c r="C34" s="2"/>
      <c r="D34" s="2"/>
      <c r="E34" s="2"/>
      <c r="F34" s="2"/>
    </row>
    <row r="35" ht="15.75" customHeight="1">
      <c r="A35" s="4" t="s">
        <v>264</v>
      </c>
      <c r="B35" s="44">
        <v>10.0</v>
      </c>
      <c r="C35" s="44">
        <v>20.0</v>
      </c>
      <c r="D35" s="44">
        <v>30.0</v>
      </c>
      <c r="E35" s="44">
        <v>40.0</v>
      </c>
      <c r="F35" s="44">
        <v>50.0</v>
      </c>
    </row>
    <row r="36" ht="15.75" customHeight="1">
      <c r="A36" s="38" t="s">
        <v>265</v>
      </c>
      <c r="B36" s="11">
        <f t="shared" ref="B36:F36" si="1">B35*$B$6*$B$9*($B$7+$B$8*2/12)</f>
        <v>1611.818328</v>
      </c>
      <c r="C36" s="11">
        <f t="shared" si="1"/>
        <v>3223.636657</v>
      </c>
      <c r="D36" s="11">
        <f t="shared" si="1"/>
        <v>4835.454985</v>
      </c>
      <c r="E36" s="11">
        <f t="shared" si="1"/>
        <v>6447.273314</v>
      </c>
      <c r="F36" s="11">
        <f t="shared" si="1"/>
        <v>8059.091642</v>
      </c>
    </row>
    <row r="37" ht="15.75" customHeight="1">
      <c r="A37" s="38" t="s">
        <v>245</v>
      </c>
      <c r="B37" s="13">
        <f t="shared" ref="B37:F37" si="2">ROUNDUP(B35*($B$6*$B$11+(1-$B$6)*$B$10)/$B$12,0)</f>
        <v>1</v>
      </c>
      <c r="C37" s="13">
        <f t="shared" si="2"/>
        <v>1</v>
      </c>
      <c r="D37" s="13">
        <f t="shared" si="2"/>
        <v>2</v>
      </c>
      <c r="E37" s="13">
        <f t="shared" si="2"/>
        <v>2</v>
      </c>
      <c r="F37" s="13">
        <f t="shared" si="2"/>
        <v>3</v>
      </c>
    </row>
    <row r="38" ht="15.75" customHeight="1">
      <c r="A38" s="38" t="s">
        <v>266</v>
      </c>
      <c r="B38" s="11">
        <f t="shared" ref="B38:F38" si="3">B37*$B$13*$B$16</f>
        <v>140</v>
      </c>
      <c r="C38" s="11">
        <f t="shared" si="3"/>
        <v>140</v>
      </c>
      <c r="D38" s="11">
        <f t="shared" si="3"/>
        <v>280</v>
      </c>
      <c r="E38" s="11">
        <f t="shared" si="3"/>
        <v>280</v>
      </c>
      <c r="F38" s="11">
        <f t="shared" si="3"/>
        <v>420</v>
      </c>
    </row>
    <row r="39" ht="15.75" customHeight="1">
      <c r="A39" s="42" t="s">
        <v>267</v>
      </c>
      <c r="B39" s="21">
        <f t="shared" ref="B39:F39" si="4">B36-B38</f>
        <v>1471.818328</v>
      </c>
      <c r="C39" s="21">
        <f t="shared" si="4"/>
        <v>3083.636657</v>
      </c>
      <c r="D39" s="21">
        <f t="shared" si="4"/>
        <v>4555.454985</v>
      </c>
      <c r="E39" s="21">
        <f t="shared" si="4"/>
        <v>6167.273314</v>
      </c>
      <c r="F39" s="21">
        <f t="shared" si="4"/>
        <v>7639.091642</v>
      </c>
    </row>
    <row r="40" ht="15.75" customHeight="1"/>
    <row r="41" ht="19.5" customHeight="1">
      <c r="A41" s="1" t="s">
        <v>268</v>
      </c>
      <c r="B41" s="2"/>
      <c r="C41" s="2"/>
      <c r="D41" s="2"/>
      <c r="E41" s="2"/>
      <c r="F41" s="2"/>
    </row>
    <row r="42" ht="15.75" customHeight="1">
      <c r="A42" s="4" t="s">
        <v>170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</row>
    <row r="43" ht="15.75" customHeight="1">
      <c r="A43" s="38" t="s">
        <v>188</v>
      </c>
      <c r="B43" s="7">
        <f>'Year 1 Monthly'!C7</f>
        <v>112</v>
      </c>
      <c r="C43" s="7">
        <f>'Year 1 Monthly'!E7</f>
        <v>112</v>
      </c>
      <c r="D43" s="7">
        <f>'Year 1 Monthly'!H7</f>
        <v>112</v>
      </c>
      <c r="E43" s="7">
        <f>'Year 1 Monthly'!K7</f>
        <v>1176</v>
      </c>
      <c r="F43" s="7">
        <f>'Year 1 Monthly'!N7</f>
        <v>2240</v>
      </c>
    </row>
    <row r="44" ht="15.75" customHeight="1">
      <c r="A44" s="38" t="s">
        <v>274</v>
      </c>
      <c r="B44" s="11">
        <f>'Year 1 Monthly'!C24</f>
        <v>541570.9584</v>
      </c>
      <c r="C44" s="11">
        <f>'Year 1 Monthly'!E24</f>
        <v>541570.9584</v>
      </c>
      <c r="D44" s="11">
        <f>'Year 1 Monthly'!H24</f>
        <v>541570.9584</v>
      </c>
      <c r="E44" s="11">
        <f>'Year 1 Monthly'!K24</f>
        <v>5686495.063</v>
      </c>
      <c r="F44" s="11">
        <f>'Year 1 Monthly'!N24</f>
        <v>10831419.17</v>
      </c>
    </row>
    <row r="45" ht="15.75" customHeight="1">
      <c r="A45" s="38" t="s">
        <v>275</v>
      </c>
      <c r="B45" s="11">
        <f>IFERROR('Year 1 Monthly'!C24/'Year 1 Monthly'!C7,0)</f>
        <v>4835.454985</v>
      </c>
      <c r="C45" s="11">
        <f>IFERROR('Year 1 Monthly'!E24/'Year 1 Monthly'!E7,0)</f>
        <v>4835.454985</v>
      </c>
      <c r="D45" s="11">
        <f>IFERROR('Year 1 Monthly'!H24/'Year 1 Monthly'!H7,0)</f>
        <v>4835.454985</v>
      </c>
      <c r="E45" s="11">
        <f>IFERROR('Year 1 Monthly'!K24/'Year 1 Monthly'!K7,0)</f>
        <v>4835.454985</v>
      </c>
      <c r="F45" s="11">
        <f>IFERROR('Year 1 Monthly'!N24/'Year 1 Monthly'!N7,0)</f>
        <v>4835.454985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0">
    <mergeCell ref="A1:G1"/>
    <mergeCell ref="A2:Z2"/>
    <mergeCell ref="A3:C3"/>
    <mergeCell ref="A18:G18"/>
    <mergeCell ref="C19:F19"/>
    <mergeCell ref="C20:F20"/>
    <mergeCell ref="C21:F21"/>
    <mergeCell ref="C29:F29"/>
    <mergeCell ref="C30:F30"/>
    <mergeCell ref="C31:F31"/>
    <mergeCell ref="C32:F32"/>
    <mergeCell ref="A34:F34"/>
    <mergeCell ref="A41:F41"/>
    <mergeCell ref="C22:F22"/>
    <mergeCell ref="C23:F23"/>
    <mergeCell ref="C24:F24"/>
    <mergeCell ref="C25:F25"/>
    <mergeCell ref="C26:F26"/>
    <mergeCell ref="C27:F27"/>
    <mergeCell ref="C28:F28"/>
  </mergeCells>
  <printOptions/>
  <pageMargins bottom="1.0" footer="0.0" header="0.0" left="0.75" right="0.75" top="1.0"/>
  <pageSetup fitToHeight="0" paperSize="9" orientation="landscape"/>
  <drawing r:id="rId1"/>
</worksheet>
</file>